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e3096658e64e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Dashboard" sheetId="1" r:id="Rf559cc2ce1ff464e"/>
    <x:sheet xmlns:r="http://schemas.openxmlformats.org/officeDocument/2006/relationships" name="涨价主线梳理" sheetId="2" r:id="R52ed6ae803ac4d96"/>
    <x:sheet xmlns:r="http://schemas.openxmlformats.org/officeDocument/2006/relationships" name="A股核心标的库" sheetId="3" r:id="Rdec2195a3ba8477a"/>
    <x:sheet xmlns:r="http://schemas.openxmlformats.org/officeDocument/2006/relationships" name="跟踪指标" sheetId="4" r:id="R5854908db5064b02"/>
    <x:sheet xmlns:r="http://schemas.openxmlformats.org/officeDocument/2006/relationships" name="数据源与说明" sheetId="5" r:id="R0c90645bc00548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6"/>
      <x:color rgb="FFFFFF"/>
      <x:name val="Carlito"/>
    </x:font>
    <x:font>
      <x:b/>
      <x:sz val="11"/>
      <x:color rgb="1F2937"/>
      <x:name val="Carlito"/>
    </x:font>
    <x:font>
      <x:sz val="11"/>
      <x:color rgb="7A4B00"/>
      <x:name val="Carlito"/>
    </x:font>
    <x:font>
      <x:b/>
      <x:sz val="11"/>
      <x:color rgb="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0B1F33"/>
      </x:patternFill>
    </x:fill>
    <x:fill>
      <x:patternFill patternType="solid">
        <x:fgColor rgb="D9EAF7"/>
      </x:patternFill>
    </x:fill>
    <x:fill>
      <x:patternFill patternType="solid">
        <x:fgColor rgb="FFF2CC"/>
      </x:patternFill>
    </x:fill>
    <x:fill>
      <x:patternFill patternType="solid">
        <x:fgColor rgb="1F4E78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4" fillId="5" borderId="1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 vertical="top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top" wrapText="1"/>
    </x:xf>
    <x:xf numFmtId="0" fontId="4" fillId="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ad149bf34343cf" /><Relationship Type="http://schemas.openxmlformats.org/officeDocument/2006/relationships/theme" Target="/xl/theme/theme1.xml" Id="Rd6dcda20ff3d4a89" /><Relationship Type="http://schemas.openxmlformats.org/officeDocument/2006/relationships/sharedStrings" Target="/xl/sharedStrings.xml" Id="Reef30057a6cc47d4" /><Relationship Type="http://schemas.openxmlformats.org/officeDocument/2006/relationships/worksheet" Target="/xl/worksheets/sheet1.xml" Id="Rf559cc2ce1ff464e" /><Relationship Type="http://schemas.openxmlformats.org/officeDocument/2006/relationships/worksheet" Target="/xl/worksheets/sheet2.xml" Id="R52ed6ae803ac4d96" /><Relationship Type="http://schemas.openxmlformats.org/officeDocument/2006/relationships/worksheet" Target="/xl/worksheets/sheet3.xml" Id="Rdec2195a3ba8477a" /><Relationship Type="http://schemas.openxmlformats.org/officeDocument/2006/relationships/worksheet" Target="/xl/worksheets/sheet4.xml" Id="R5854908db5064b02" /><Relationship Type="http://schemas.openxmlformats.org/officeDocument/2006/relationships/worksheet" Target="/xl/worksheets/sheet5.xml" Id="R0c90645bc005480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ab85d31b9ae4f6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涨价主线优先级分布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数量</c:v>
          </c:tx>
          <c:cat>
            <c:strRef>
              <c:f>'总览Dashboard'!$L$6:$L$8</c:f>
              <c:strCache>
                <c:ptCount val="0"/>
              </c:strCache>
            </c:strRef>
          </c:cat>
          <c:val>
            <c:numRef>
              <c:f>'总览Dashboard'!$M$6:$M$8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9</xdr:row>
      <xdr:rowOff>0</xdr:rowOff>
    </xdr:from>
    <xdr:to>
      <xdr:col>17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ab85d31b9ae4f6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shboardTable" displayName="DashboardTable" ref="A5:J15" headerRowCount="1">
  <x:tableColumns count="10">
    <x:tableColumn id="1" name="主线"/>
    <x:tableColumn id="2" name="当前热度"/>
    <x:tableColumn id="3" name="价格/景气变化"/>
    <x:tableColumn id="4" name="逻辑硬度"/>
    <x:tableColumn id="5" name="持续性"/>
    <x:tableColumn id="6" name="核心龙头"/>
    <x:tableColumn id="7" name="弹性标的"/>
    <x:tableColumn id="8" name="一句话判断"/>
    <x:tableColumn id="9" name="跟踪优先级"/>
    <x:tableColumn id="10" name="风险点"/>
  </x:tableColumns>
  <x:tableStyleInfo name="TableStyleMedium2" showRowStripes="1"/>
</x:table>
</file>

<file path=xl/tables/table2.xml><?xml version="1.0" encoding="utf-8"?>
<x:table xmlns:x="http://schemas.openxmlformats.org/spreadsheetml/2006/main" id="2" name="PriceLinesTable" displayName="PriceLinesTable" ref="A1:P12" headerRowCount="1">
  <x:tableColumns count="16">
    <x:tableColumn id="1" name="涨价主线"/>
    <x:tableColumn id="2" name="细分品种"/>
    <x:tableColumn id="3" name="近期变化/价格线索"/>
    <x:tableColumn id="4" name="涨价原因"/>
    <x:tableColumn id="5" name="供给约束"/>
    <x:tableColumn id="6" name="需求驱动"/>
    <x:tableColumn id="7" name="持续性判断"/>
    <x:tableColumn id="8" name="A股受益路径"/>
    <x:tableColumn id="9" name="核心标的"/>
    <x:tableColumn id="10" name="弹性标的"/>
    <x:tableColumn id="11" name="跟踪指标"/>
    <x:tableColumn id="12" name="热度状态"/>
    <x:tableColumn id="13" name="确定性"/>
    <x:tableColumn id="14" name="弹性"/>
    <x:tableColumn id="15" name="综合评分"/>
    <x:tableColumn id="16" name="来源URL"/>
  </x:tableColumns>
  <x:tableStyleInfo name="TableStyleMedium2" showRowStripes="1"/>
</x:table>
</file>

<file path=xl/tables/table3.xml><?xml version="1.0" encoding="utf-8"?>
<x:table xmlns:x="http://schemas.openxmlformats.org/spreadsheetml/2006/main" id="3" name="StockLibraryTable" displayName="StockLibraryTable" ref="A1:L27" headerRowCount="1">
  <x:tableColumns count="12">
    <x:tableColumn id="1" name="证券代码"/>
    <x:tableColumn id="2" name="公司"/>
    <x:tableColumn id="3" name="对应主线"/>
    <x:tableColumn id="4" name="定位"/>
    <x:tableColumn id="5" name="纯度"/>
    <x:tableColumn id="6" name="弹性"/>
    <x:tableColumn id="7" name="确定性"/>
    <x:tableColumn id="8" name="核心逻辑"/>
    <x:tableColumn id="9" name="催化剂"/>
    <x:tableColumn id="10" name="主要风险"/>
    <x:tableColumn id="11" name="跟踪指标"/>
    <x:tableColumn id="12" name="备注"/>
  </x:tableColumns>
  <x:tableStyleInfo name="TableStyleMedium2" showRowStripes="1"/>
</x:table>
</file>

<file path=xl/tables/table4.xml><?xml version="1.0" encoding="utf-8"?>
<x:table xmlns:x="http://schemas.openxmlformats.org/spreadsheetml/2006/main" id="4" name="WatchTable" displayName="WatchTable" ref="A1:G9" headerRowCount="1">
  <x:tableColumns count="7">
    <x:tableColumn id="1" name="主线"/>
    <x:tableColumn id="2" name="必须跟踪的价格/指标"/>
    <x:tableColumn id="3" name="数据频率"/>
    <x:tableColumn id="4" name="上行确认信号"/>
    <x:tableColumn id="5" name="降温/卖出警示"/>
    <x:tableColumn id="6" name="最适合对应的股票池"/>
    <x:tableColumn id="7" name="备注"/>
  </x:tableColumns>
  <x:tableStyleInfo name="TableStyleMedium2" showRowStripes="1"/>
</x:table>
</file>

<file path=xl/tables/table5.xml><?xml version="1.0" encoding="utf-8"?>
<x:table xmlns:x="http://schemas.openxmlformats.org/spreadsheetml/2006/main" id="5" name="SourcesTable" displayName="SourcesTable" ref="A1:E13" headerRowCount="1">
  <x:tableColumns count="5">
    <x:tableColumn id="1" name="序号"/>
    <x:tableColumn id="2" name="主题"/>
    <x:tableColumn id="3" name="来源名称/说明"/>
    <x:tableColumn id="4" name="URL"/>
    <x:tableColumn id="5" name="使用位置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e22a412e45a44a5" /><Relationship Type="http://schemas.openxmlformats.org/officeDocument/2006/relationships/table" Target="/xl/tables/table1.xml" Id="R8ca79f71e86942f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bcf13b4715540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8d046e1949246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714a46de1af40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8f9e50fd2b04483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" hidden="0" customWidth="1"/>
    <x:col min="3" max="3" width="34" hidden="0" customWidth="1"/>
    <x:col min="4" max="4" width="10" hidden="0" customWidth="1"/>
    <x:col min="5" max="5" width="10" hidden="0" customWidth="1"/>
    <x:col min="6" max="6" width="22" hidden="0" customWidth="1"/>
    <x:col min="7" max="7" width="24" hidden="0" customWidth="1"/>
    <x:col min="8" max="8" width="42" hidden="0" customWidth="1"/>
    <x:col min="9" max="9" width="12" hidden="0" customWidth="1"/>
    <x:col min="10" max="10" width="35" hidden="0" customWidth="1"/>
    <x:col min="12" max="12" width="14" hidden="0" customWidth="1"/>
    <x:col min="13" max="13" width="10" hidden="0" customWidth="1"/>
  </x:cols>
  <x:sheetData>
    <x:row r="1" ht="28" customHeight="1">
      <x:c r="A1" s="51" t="str">
        <x:v>A股涨价线全景梳理（2026-06-10版）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 ht="42" customHeight="1">
      <x:c r="A2" s="14" t="str">
        <x:v>使用说明</x:v>
      </x:c>
      <x:c r="B2" s="23" t="str">
        <x:v>本表按“价格涨幅/供给约束/需求景气/持续性/股价热度/兑现路径”综合梳理。评分为研究辅助，不构成投资建议。</x:v>
      </x:c>
      <x:c r="C2" s="23"/>
      <x:c r="D2" s="23"/>
      <x:c r="E2" s="23"/>
      <x:c r="F2" s="23"/>
      <x:c r="G2" s="23"/>
      <x:c r="H2" s="23"/>
      <x:c r="I2" s="23"/>
      <x:c r="J2" s="23"/>
    </x:row>
    <x:row r="3" ht="42" customHeight="1">
      <x:c r="A3" s="14" t="str">
        <x:v>重点结论</x:v>
      </x:c>
      <x:c r="B3" s="23" t="str">
        <x:v>逻辑最硬：硫酸/硫磺、六氟化钨、HBM先进封装材料；新增重点：电子布/高端铜箔/MLCC属于AI服务器高频高速材料涨价分支，PPE/PPO树脂需区分工程塑料与电子级树脂。</x:v>
      </x:c>
      <x:c r="C3" s="23"/>
      <x:c r="D3" s="23"/>
      <x:c r="E3" s="23"/>
      <x:c r="F3" s="23"/>
      <x:c r="G3" s="23"/>
      <x:c r="H3" s="23"/>
      <x:c r="I3" s="23"/>
      <x:c r="J3" s="23"/>
    </x:row>
    <x:row r="5" ht="50" customHeight="1">
      <x:c r="A5" s="32" t="str">
        <x:v>主线</x:v>
      </x:c>
      <x:c r="B5" s="32" t="str">
        <x:v>当前热度</x:v>
      </x:c>
      <x:c r="C5" s="32" t="str">
        <x:v>价格/景气变化</x:v>
      </x:c>
      <x:c r="D5" s="32" t="str">
        <x:v>逻辑硬度</x:v>
      </x:c>
      <x:c r="E5" s="32" t="str">
        <x:v>持续性</x:v>
      </x:c>
      <x:c r="F5" s="32" t="str">
        <x:v>核心龙头</x:v>
      </x:c>
      <x:c r="G5" s="32" t="str">
        <x:v>弹性标的</x:v>
      </x:c>
      <x:c r="H5" s="32" t="str">
        <x:v>一句话判断</x:v>
      </x:c>
      <x:c r="I5" s="32" t="str">
        <x:v>跟踪优先级</x:v>
      </x:c>
      <x:c r="J5" s="32" t="str">
        <x:v>风险点</x:v>
      </x:c>
      <x:c r="L5" s="32" t="str">
        <x:v>跟踪优先级</x:v>
      </x:c>
      <x:c r="M5" s="32" t="str">
        <x:v>数量</x:v>
      </x:c>
    </x:row>
    <x:row r="6" ht="50" customHeight="1">
      <x:c r="A6" s="39" t="str">
        <x:v>硫磺→硫酸</x:v>
      </x:c>
      <x:c r="B6" s="39" t="str">
        <x:v>中高</x:v>
      </x:c>
      <x:c r="C6" s="39" t="str">
        <x:v>硫酸近三个月最高累计涨幅接近130%；硫磺近三个月涨幅约56%</x:v>
      </x:c>
      <x:c r="D6" s="39" t="n">
        <x:v>5</x:v>
      </x:c>
      <x:c r="E6" s="39" t="n">
        <x:v>5</x:v>
      </x:c>
      <x:c r="F6" s="39" t="str">
        <x:v>铜陵有色/江西铜业</x:v>
      </x:c>
      <x:c r="G6" s="39" t="str">
        <x:v>粤桂股份/云南铜业</x:v>
      </x:c>
      <x:c r="H6" s="39" t="str">
        <x:v>供给刚性+副产属性+下游需求多元，是当前涨价线里逻辑最硬之一</x:v>
      </x:c>
      <x:c r="I6" s="39" t="str">
        <x:v>A</x:v>
      </x:c>
      <x:c r="J6" s="39" t="str">
        <x:v>地缘缓和、硫磺进口恢复、冶炼复产</x:v>
      </x:c>
      <x:c r="L6" t="str">
        <x:v>A</x:v>
      </x:c>
      <x:c r="M6" t="n">
        <x:f>COUNTIF(I6:I15,"A")</x:f>
        <x:v>2</x:v>
      </x:c>
    </x:row>
    <x:row r="7" ht="50" customHeight="1">
      <x:c r="A7" s="39" t="str">
        <x:v>六氟化钨WF6</x:v>
      </x:c>
      <x:c r="B7" s="39" t="str">
        <x:v>中</x:v>
      </x:c>
      <x:c r="C7" s="39" t="str">
        <x:v>海外核心供应商拟大幅提价；市场传涨幅70%-90%</x:v>
      </x:c>
      <x:c r="D7" s="39" t="n">
        <x:v>5</x:v>
      </x:c>
      <x:c r="E7" s="39" t="n">
        <x:v>4</x:v>
      </x:c>
      <x:c r="F7" s="39" t="str">
        <x:v>中船特气</x:v>
      </x:c>
      <x:c r="G7" s="39" t="str">
        <x:v>昊华科技/华特气体</x:v>
      </x:c>
      <x:c r="H7" s="39" t="str">
        <x:v>半导体特气+存储扩产+钨原料约束，认知差较大</x:v>
      </x:c>
      <x:c r="I7" s="39" t="str">
        <x:v>A</x:v>
      </x:c>
      <x:c r="J7" s="39" t="str">
        <x:v>半导体扩产不及预期、客户验证周期</x:v>
      </x:c>
      <x:c r="L7" t="str">
        <x:v>A-</x:v>
      </x:c>
      <x:c r="M7" t="n">
        <x:f>COUNTIF(I6:I15,"A-")</x:f>
        <x:v>3</x:v>
      </x:c>
    </x:row>
    <x:row r="8" ht="50" customHeight="1">
      <x:c r="A8" s="39" t="str">
        <x:v>HBM封装材料：Underfill/EMC</x:v>
      </x:c>
      <x:c r="B8" s="39" t="str">
        <x:v>中</x:v>
      </x:c>
      <x:c r="C8" s="39" t="str">
        <x:v>先进封装材料国产化低，HBM带动高性能产品量价齐升</x:v>
      </x:c>
      <x:c r="D8" s="39" t="n">
        <x:v>4</x:v>
      </x:c>
      <x:c r="E8" s="39" t="n">
        <x:v>4</x:v>
      </x:c>
      <x:c r="F8" s="39" t="str">
        <x:v>德邦科技/华海诚科</x:v>
      </x:c>
      <x:c r="G8" s="39" t="str">
        <x:v>飞凯材料/凯华材料/回天新材</x:v>
      </x:c>
      <x:c r="H8" s="39" t="str">
        <x:v>AI芯片从设备炒到耗材，材料价值量有望持续提升</x:v>
      </x:c>
      <x:c r="I8" s="39" t="str">
        <x:v>A-</x:v>
      </x:c>
      <x:c r="J8" s="39" t="str">
        <x:v>验证慢、海外龙头份额强、量产节奏不确定</x:v>
      </x:c>
      <x:c r="L8" t="str">
        <x:v>B+及以下</x:v>
      </x:c>
      <x:c r="M8" t="n">
        <x:f>COUNTA(I6:I15)-M6-M7</x:f>
        <x:v>5</x:v>
      </x:c>
    </x:row>
    <x:row r="9" ht="50" customHeight="1">
      <x:c r="A9" s="39" t="str">
        <x:v>ABF/BT载板</x:v>
      </x:c>
      <x:c r="B9" s="39" t="str">
        <x:v>中高</x:v>
      </x:c>
      <x:c r="C9" s="39" t="str">
        <x:v>AI/HBM需求导致载板供需趋紧，部分报告称ABF/BT涨价预期增强</x:v>
      </x:c>
      <x:c r="D9" s="39" t="n">
        <x:v>4</x:v>
      </x:c>
      <x:c r="E9" s="39" t="n">
        <x:v>4</x:v>
      </x:c>
      <x:c r="F9" s="39" t="str">
        <x:v>兴森科技/深南电路</x:v>
      </x:c>
      <x:c r="G9" s="39" t="str">
        <x:v>沪电股份/生益电子</x:v>
      </x:c>
      <x:c r="H9" s="39" t="str">
        <x:v>先进封装短板，国产替代和AI服务器双击</x:v>
      </x:c>
      <x:c r="I9" s="39" t="str">
        <x:v>A-</x:v>
      </x:c>
      <x:c r="J9" s="39" t="str">
        <x:v>扩产释放、良率爬坡、海外价格回落</x:v>
      </x:c>
    </x:row>
    <x:row r="10" ht="50" customHeight="1">
      <x:c r="A10" s="39" t="str">
        <x:v>TGV玻璃基板</x:v>
      </x:c>
      <x:c r="B10" s="39" t="str">
        <x:v>高</x:v>
      </x:c>
      <x:c r="C10" s="39" t="str">
        <x:v>CoPoS/玻璃基先进封装产业化预期升温</x:v>
      </x:c>
      <x:c r="D10" s="39" t="n">
        <x:v>4</x:v>
      </x:c>
      <x:c r="E10" s="39" t="n">
        <x:v>5</x:v>
      </x:c>
      <x:c r="F10" s="39" t="str">
        <x:v>沃格光电</x:v>
      </x:c>
      <x:c r="G10" s="39" t="str">
        <x:v>三超新材/帝尔激光/大族激光</x:v>
      </x:c>
      <x:c r="H10" s="39" t="str">
        <x:v>从0到1阶段，预期差大但兑现周期长</x:v>
      </x:c>
      <x:c r="I10" s="39" t="str">
        <x:v>A-</x:v>
      </x:c>
      <x:c r="J10" s="39" t="str">
        <x:v>商业化节奏慢、客户导入不及预期</x:v>
      </x:c>
    </x:row>
    <x:row r="11" ht="50" customHeight="1">
      <x:c r="A11" s="39" t="str">
        <x:v>电子级湿化学品</x:v>
      </x:c>
      <x:c r="B11" s="39" t="str">
        <x:v>低中</x:v>
      </x:c>
      <x:c r="C11" s="39" t="str">
        <x:v>晶圆扩产带动电子级双氧水/硫酸/氨水等需求</x:v>
      </x:c>
      <x:c r="D11" s="39" t="n">
        <x:v>4</x:v>
      </x:c>
      <x:c r="E11" s="39" t="n">
        <x:v>4</x:v>
      </x:c>
      <x:c r="F11" s="39" t="str">
        <x:v>江化微/晶瑞电材</x:v>
      </x:c>
      <x:c r="G11" s="39" t="str">
        <x:v>上海新阳/中巨芯/格林达</x:v>
      </x:c>
      <x:c r="H11" s="39" t="str">
        <x:v>半导体耗材属性强，但部分品种存在结构性过剩</x:v>
      </x:c>
      <x:c r="I11" s="39" t="str">
        <x:v>B+</x:v>
      </x:c>
      <x:c r="J11" s="39" t="str">
        <x:v>产能过剩、价格传导弱</x:v>
      </x:c>
    </x:row>
    <x:row r="12" ht="50" customHeight="1">
      <x:c r="A12" s="39" t="str">
        <x:v>环氧丙烷PO</x:v>
      </x:c>
      <x:c r="B12" s="39" t="str">
        <x:v>高</x:v>
      </x:c>
      <x:c r="C12" s="39" t="str">
        <x:v>4月高点较年初/低位显著上涨，6月报价约9000元/吨附近</x:v>
      </x:c>
      <x:c r="D12" s="39" t="n">
        <x:v>3</x:v>
      </x:c>
      <x:c r="E12" s="39" t="n">
        <x:v>2</x:v>
      </x:c>
      <x:c r="F12" s="39" t="str">
        <x:v>万华化学/滨化股份</x:v>
      </x:c>
      <x:c r="G12" s="39" t="str">
        <x:v>怡达股份/红宝丽</x:v>
      </x:c>
      <x:c r="H12" s="39" t="str">
        <x:v>检修+低库存驱动，弹性强但持续性不如硫酸</x:v>
      </x:c>
      <x:c r="I12" s="39" t="str">
        <x:v>B</x:v>
      </x:c>
      <x:c r="J12" s="39" t="str">
        <x:v>装置复产、新产能释放、价格回落</x:v>
      </x:c>
    </x:row>
    <x:row r="13" ht="50" customHeight="1">
      <x:c r="A13" s="39" t="str">
        <x:v>AI服务器PCB/铜箔/高频材料</x:v>
      </x:c>
      <x:c r="B13" s="39" t="str">
        <x:v>高</x:v>
      </x:c>
      <x:c r="C13" s="39" t="str">
        <x:v>高阶铜箔、玻纤布、ABF等供需趋紧</x:v>
      </x:c>
      <x:c r="D13" s="39" t="n">
        <x:v>4</x:v>
      </x:c>
      <x:c r="E13" s="39" t="n">
        <x:v>4</x:v>
      </x:c>
      <x:c r="F13" s="39" t="str">
        <x:v>沪电股份/胜宏科技</x:v>
      </x:c>
      <x:c r="G13" s="39" t="str">
        <x:v>诺德股份/嘉元科技/宏和科技</x:v>
      </x:c>
      <x:c r="H13" s="39" t="str">
        <x:v>AI硬件从整机扩散到高阶材料</x:v>
      </x:c>
      <x:c r="I13" s="39" t="str">
        <x:v>B+</x:v>
      </x:c>
      <x:c r="J13" s="39" t="str">
        <x:v>已较热、估值拥挤</x:v>
      </x:c>
    </x:row>
    <x:row r="14" ht="50" customHeight="1">
      <x:c r="A14" s="39" t="str">
        <x:v>小金属：铋/钨/锑等</x:v>
      </x:c>
      <x:c r="B14" s="39" t="str">
        <x:v>中</x:v>
      </x:c>
      <x:c r="C14" s="39" t="str">
        <x:v>资源约束+军工/电子材料/半导体需求带动</x:v>
      </x:c>
      <x:c r="D14" s="39" t="n">
        <x:v>4</x:v>
      </x:c>
      <x:c r="E14" s="39" t="n">
        <x:v>3</x:v>
      </x:c>
      <x:c r="F14" s="39" t="str">
        <x:v>厦门钨业/湖南黄金</x:v>
      </x:c>
      <x:c r="G14" s="39" t="str">
        <x:v>章源钨业/驰宏锌锗</x:v>
      </x:c>
      <x:c r="H14" s="39" t="str">
        <x:v>资源端涨价弹性大，但需辨别主营纯度</x:v>
      </x:c>
      <x:c r="I14" s="39" t="str">
        <x:v>B</x:v>
      </x:c>
      <x:c r="J14" s="39" t="str">
        <x:v>政策/出口/库存波动</x:v>
      </x:c>
    </x:row>
    <x:row r="15" ht="50" customHeight="1">
      <x:c r="A15" s="39" t="str">
        <x:v>液冷材料/冷却液</x:v>
      </x:c>
      <x:c r="B15" s="39" t="str">
        <x:v>中高</x:v>
      </x:c>
      <x:c r="C15" s="39" t="str">
        <x:v>AI数据中心功耗提升，液冷渗透率提升</x:v>
      </x:c>
      <x:c r="D15" s="39" t="n">
        <x:v>4</x:v>
      </x:c>
      <x:c r="E15" s="39" t="n">
        <x:v>4</x:v>
      </x:c>
      <x:c r="F15" s="39" t="str">
        <x:v>英维克</x:v>
      </x:c>
      <x:c r="G15" s="39" t="str">
        <x:v>高澜股份/申菱环境</x:v>
      </x:c>
      <x:c r="H15" s="39" t="str">
        <x:v>不是商品涨价那么直接，但属于AI算力持续消耗链</x:v>
      </x:c>
      <x:c r="I15" s="39" t="str">
        <x:v>B+</x:v>
      </x:c>
      <x:c r="J15" s="39" t="str">
        <x:v>价格验证不透明、竞争加剧</x:v>
      </x:c>
    </x:row>
    <x:row r="16">
      <x:c r="A16" s="39" t="str">
        <x:v>电子布/玻纤布</x:v>
      </x:c>
      <x:c r="B16" s="39" t="str">
        <x:v>中高</x:v>
      </x:c>
      <x:c r="C16" s="39" t="str">
        <x:v>高端Low Dk/Low CTE电子布供给紧张，覆铜板涨价向上游扩散</x:v>
      </x:c>
      <x:c r="D16" s="39" t="n">
        <x:v>4</x:v>
      </x:c>
      <x:c r="E16" s="39" t="n">
        <x:v>4</x:v>
      </x:c>
      <x:c r="F16" s="39" t="str">
        <x:v>宏和科技/中国巨石</x:v>
      </x:c>
      <x:c r="G16" s="39" t="str">
        <x:v>中材科技/生益科技</x:v>
      </x:c>
      <x:c r="H16" s="39" t="str">
        <x:v>AI服务器PCB上游关键材料，和PPE/PPO树脂、铜箔共同构成高频高速材料链</x:v>
      </x:c>
      <x:c r="I16" s="39" t="str">
        <x:v>A-</x:v>
      </x:c>
      <x:c r="J16" s="39" t="str">
        <x:v>低端玻纤景气拖累、高端认证慢</x:v>
      </x:c>
    </x:row>
    <x:row r="17">
      <x:c r="A17" s="39" t="str">
        <x:v>高端铜箔/HVLP铜箔</x:v>
      </x:c>
      <x:c r="B17" s="39" t="str">
        <x:v>高</x:v>
      </x:c>
      <x:c r="C17" s="39" t="str">
        <x:v>铜箔板块明显强于锂电链，AI高频高速用HVLP/载体铜箔放量</x:v>
      </x:c>
      <x:c r="D17" s="39" t="n">
        <x:v>4</x:v>
      </x:c>
      <x:c r="E17" s="39" t="n">
        <x:v>4</x:v>
      </x:c>
      <x:c r="F17" s="39" t="str">
        <x:v>铜冠铜箔/诺德股份</x:v>
      </x:c>
      <x:c r="G17" s="39" t="str">
        <x:v>德福科技/嘉元科技/方邦股份</x:v>
      </x:c>
      <x:c r="H17" s="39" t="str">
        <x:v>核心不是普通锂电铜箔，而是AI PCB/1.6T光模块用高端铜箔</x:v>
      </x:c>
      <x:c r="I17" s="39" t="str">
        <x:v>A-</x:v>
      </x:c>
      <x:c r="J17" s="39" t="str">
        <x:v>股价已有反应、锂电铜箔低端过剩、客户结构差异大</x:v>
      </x:c>
    </x:row>
    <x:row r="18">
      <x:c r="A18" s="39" t="str">
        <x:v>MLCC</x:v>
      </x:c>
      <x:c r="B18" s="39" t="str">
        <x:v>中高</x:v>
      </x:c>
      <x:c r="C18" s="39" t="str">
        <x:v>AI服务器高容/高压/高可靠MLCC需求增长，行业价格下行周期出现拐点迹象</x:v>
      </x:c>
      <x:c r="D18" s="39" t="n">
        <x:v>4</x:v>
      </x:c>
      <x:c r="E18" s="39" t="n">
        <x:v>3</x:v>
      </x:c>
      <x:c r="F18" s="39" t="str">
        <x:v>风华高科/三环集团</x:v>
      </x:c>
      <x:c r="G18" s="39" t="str">
        <x:v>火炬电子/鸿远电子/达利凯普</x:v>
      </x:c>
      <x:c r="H18" s="39" t="str">
        <x:v>AI服务器单机MLCC用量和价值量提升，国产高端化是关键</x:v>
      </x:c>
      <x:c r="I18" s="39" t="str">
        <x:v>B+</x:v>
      </x:c>
      <x:c r="J18" s="39" t="str">
        <x:v>消费级MLCC未必普涨、高端认证和订单兑现不确定</x:v>
      </x:c>
    </x:row>
    <x:row r="19">
      <x:c r="A19" s="39" t="str">
        <x:v>PPE/PPO树脂</x:v>
      </x:c>
      <x:c r="B19" s="39" t="str">
        <x:v>中</x:v>
      </x:c>
      <x:c r="C19" s="39" t="str">
        <x:v>全球工程塑料PPE扰动引发关注；电子级PPO/PPE用于高速覆铜板低介电树脂，但A股相关公司已提示价格并未大幅波动</x:v>
      </x:c>
      <x:c r="D19" s="39" t="n">
        <x:v>3</x:v>
      </x:c>
      <x:c r="E19" s="39" t="n">
        <x:v>3</x:v>
      </x:c>
      <x:c r="F19" s="39" t="str">
        <x:v>圣泉集团/东材科技</x:v>
      </x:c>
      <x:c r="G19" s="39" t="str">
        <x:v>宏昌电子/生益科技/南亚新材</x:v>
      </x:c>
      <x:c r="H19" s="39" t="str">
        <x:v>方向重要但要区分工程塑料PPE与电子级PPO，不能简单按70%供应中断直接外推</x:v>
      </x:c>
      <x:c r="I19" s="39" t="str">
        <x:v>B</x:v>
      </x:c>
      <x:c r="J19" s="39" t="str">
        <x:v>消息误读、价格未实质上涨、下游认证周期长</x:v>
      </x:c>
    </x:row>
  </x:sheetData>
  <x:mergeCells>
    <x:mergeCell ref="A1:J1"/>
  </x:mergeCells>
  <x:conditionalFormatting sqref="D6:E15">
    <x:cfRule type="colorScale" priority="1">
      <x:colorScale>
        <x:cfvo type="min"/>
        <x:cfvo type="percentile" val="50"/>
        <x:cfvo type="max"/>
        <x:color rgb="F8CBAD"/>
        <x:color rgb="FFE699"/>
        <x:color rgb="C6E0B4"/>
      </x:colorScale>
    </x:cfRule>
  </x:conditionalFormatting>
  <x:pageMargins left="0.7" right="0.7" top="0.75" bottom="0.75" header="0.3" footer="0.3"/>
  <x:drawing xmlns:r="http://schemas.openxmlformats.org/officeDocument/2006/relationships" r:id="R5e22a412e45a44a5"/>
  <x:tableParts count="1">
    <x:tablePart xmlns:r="http://schemas.openxmlformats.org/officeDocument/2006/relationships" r:id="R8ca79f71e86942f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35" hidden="0" customWidth="1"/>
    <x:col min="4" max="4" width="35" hidden="0" customWidth="1"/>
    <x:col min="5" max="5" width="35" hidden="0" customWidth="1"/>
    <x:col min="6" max="6" width="26" hidden="0" customWidth="1"/>
    <x:col min="7" max="7" width="24" hidden="0" customWidth="1"/>
    <x:col min="8" max="8" width="35" hidden="0" customWidth="1"/>
    <x:col min="9" max="9" width="26" hidden="0" customWidth="1"/>
    <x:col min="10" max="10" width="30" hidden="0" customWidth="1"/>
    <x:col min="11" max="11" width="36" hidden="0" customWidth="1"/>
    <x:col min="12" max="12" width="12" hidden="0" customWidth="1"/>
    <x:col min="13" max="13" width="10" hidden="0" customWidth="1"/>
    <x:col min="14" max="14" width="10" hidden="0" customWidth="1"/>
    <x:col min="15" max="15" width="10" hidden="0" customWidth="1"/>
    <x:col min="16" max="16" width="50" hidden="0" customWidth="1"/>
  </x:cols>
  <x:sheetData>
    <x:row r="1" ht="54" customHeight="1">
      <x:c r="A1" s="53" t="str">
        <x:v>涨价主线</x:v>
      </x:c>
      <x:c r="B1" s="46" t="str">
        <x:v>细分品种</x:v>
      </x:c>
      <x:c r="C1" s="46" t="str">
        <x:v>近期变化/价格线索</x:v>
      </x:c>
      <x:c r="D1" s="46" t="str">
        <x:v>涨价原因</x:v>
      </x:c>
      <x:c r="E1" s="46" t="str">
        <x:v>供给约束</x:v>
      </x:c>
      <x:c r="F1" s="46" t="str">
        <x:v>需求驱动</x:v>
      </x:c>
      <x:c r="G1" s="46" t="str">
        <x:v>持续性判断</x:v>
      </x:c>
      <x:c r="H1" s="46" t="str">
        <x:v>A股受益路径</x:v>
      </x:c>
      <x:c r="I1" s="46" t="str">
        <x:v>核心标的</x:v>
      </x:c>
      <x:c r="J1" s="46" t="str">
        <x:v>弹性标的</x:v>
      </x:c>
      <x:c r="K1" s="46" t="str">
        <x:v>跟踪指标</x:v>
      </x:c>
      <x:c r="L1" s="46" t="str">
        <x:v>热度状态</x:v>
      </x:c>
      <x:c r="M1" s="46" t="str">
        <x:v>确定性</x:v>
      </x:c>
      <x:c r="N1" s="46" t="str">
        <x:v>弹性</x:v>
      </x:c>
      <x:c r="O1" s="46" t="str">
        <x:v>综合评分</x:v>
      </x:c>
      <x:c r="P1" s="46" t="str">
        <x:v>来源URL</x:v>
      </x:c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 ht="54" customHeight="1">
      <x:c r="A2" s="39" t="str">
        <x:v>硫磺→硫酸</x:v>
      </x:c>
      <x:c r="B2" s="39" t="str">
        <x:v>工业硫磺、工业硫酸</x:v>
      </x:c>
      <x:c r="C2" s="39" t="str">
        <x:v>2026年4月中旬硫酸基准价较1月中旬累计涨幅接近130%；硫磺近三个月涨幅约56%</x:v>
      </x:c>
      <x:c r="D2" s="39" t="str">
        <x:v>硫磺进口受扰+硫磺制酸成本上升+部分冶炼副产硫酸供应偏紧</x:v>
      </x:c>
      <x:c r="E2" s="39" t="str">
        <x:v>进口依赖中东；铜冶炼副产硫酸不是主产品，企业不会为硫酸单独扩产</x:v>
      </x:c>
      <x:c r="F2" s="39" t="str">
        <x:v>磷肥、磷酸铁锂、湿法冶金、钛白粉等</x:v>
      </x:c>
      <x:c r="G2" s="39" t="str">
        <x:v>强：副产品属性+低库存+运输半径限制</x:v>
      </x:c>
      <x:c r="H2" s="39" t="str">
        <x:v>生产端受益，消费端成本承压；铜冶炼和硫铁矿路线更直接</x:v>
      </x:c>
      <x:c r="I2" s="39" t="str">
        <x:v>铜陵有色、江西铜业、云南铜业</x:v>
      </x:c>
      <x:c r="J2" s="39" t="str">
        <x:v>粤桂股份、川金诺、川发龙蟒</x:v>
      </x:c>
      <x:c r="K2" s="39" t="str">
        <x:v>生意社硫酸/硫磺价格、铜冶炼TC、港口硫磺库存、磷肥开工</x:v>
      </x:c>
      <x:c r="L2" s="39" t="str">
        <x:v>已启动但未高潮</x:v>
      </x:c>
      <x:c r="M2" s="39" t="n">
        <x:v>5</x:v>
      </x:c>
      <x:c r="N2" s="39" t="n">
        <x:v>4</x:v>
      </x:c>
      <x:c r="O2" s="39" t="n">
        <x:f>M2+N2</x:f>
        <x:v>9</x:v>
      </x:c>
      <x:c r="P2" s="39" t="str">
        <x:v>https://finance.sina.com.cn/wm/2026-04-17/doc-inhuuyia6512100.shtml</x:v>
      </x:c>
    </x:row>
    <x:row r="3" ht="54" customHeight="1">
      <x:c r="A3" s="39" t="str">
        <x:v>六氟化钨WF6</x:v>
      </x:c>
      <x:c r="B3" s="39" t="str">
        <x:v>半导体电子特气</x:v>
      </x:c>
      <x:c r="C3" s="39" t="str">
        <x:v>海外供应商据报道拟对韩国客户上调WF6价格70%-90%</x:v>
      </x:c>
      <x:c r="D3" s="39" t="str">
        <x:v>钨粉等原料约束+海外库存压力+存储/3D NAND/HBM扩产</x:v>
      </x:c>
      <x:c r="E3" s="39" t="str">
        <x:v>高纯材料技术门槛高，客户认证周期长；原料钨受出口管制影响</x:v>
      </x:c>
      <x:c r="F3" s="39" t="str">
        <x:v>3D NAND高层数、DRAM/HBM、先进制程钨填充</x:v>
      </x:c>
      <x:c r="G3" s="39" t="str">
        <x:v>强：半导体耗材，单耗随层数/复杂度上升</x:v>
      </x:c>
      <x:c r="H3" s="39" t="str">
        <x:v>电子特气国产替代，产能+客户认证是关键</x:v>
      </x:c>
      <x:c r="I3" s="39" t="str">
        <x:v>中船特气</x:v>
      </x:c>
      <x:c r="J3" s="39" t="str">
        <x:v>昊华科技、华特气体、雅克科技、厦门钨业</x:v>
      </x:c>
      <x:c r="K3" s="39" t="str">
        <x:v>海外报价、三星/SK海力士扩产、中船特气订单、钨粉价格</x:v>
      </x:c>
      <x:c r="L3" s="39" t="str">
        <x:v>认知差大</x:v>
      </x:c>
      <x:c r="M3" s="39" t="n">
        <x:v>5</x:v>
      </x:c>
      <x:c r="N3" s="39" t="n">
        <x:v>4</x:v>
      </x:c>
      <x:c r="O3" s="39" t="n">
        <x:f>M3+N3</x:f>
        <x:v>9</x:v>
      </x:c>
      <x:c r="P3" s="39" t="str">
        <x:v>https://static.weeklyonstock.com/26/0607/qdy141035.html</x:v>
      </x:c>
    </x:row>
    <x:row r="4" ht="54" customHeight="1">
      <x:c r="A4" s="39" t="str">
        <x:v>Underfill</x:v>
      </x:c>
      <x:c r="B4" s="39" t="str">
        <x:v>底部填充胶</x:v>
      </x:c>
      <x:c r="C4" s="39" t="str">
        <x:v>HBM堆叠/Chiplet封装推动高可靠性底填胶需求</x:v>
      </x:c>
      <x:c r="D4" s="39" t="str">
        <x:v>高层数HBM热胀冷缩、翘曲、焊点可靠性要求提升</x:v>
      </x:c>
      <x:c r="E4" s="39" t="str">
        <x:v>先进封装验证难，国产供应链仍在导入</x:v>
      </x:c>
      <x:c r="F4" s="39" t="str">
        <x:v>HBM3E/HBM4/HBM5、CoWoS、Chiplet</x:v>
      </x:c>
      <x:c r="G4" s="39" t="str">
        <x:v>较强：随先进封装放量持续增长</x:v>
      </x:c>
      <x:c r="H4" s="39" t="str">
        <x:v>封装胶材料供应商受益，需看客户验证和量产</x:v>
      </x:c>
      <x:c r="I4" s="39" t="str">
        <x:v>德邦科技</x:v>
      </x:c>
      <x:c r="J4" s="39" t="str">
        <x:v>回天新材、飞凯材料</x:v>
      </x:c>
      <x:c r="K4" s="39" t="str">
        <x:v>HBM封装产能、客户验证公告、先进封装收入占比</x:v>
      </x:c>
      <x:c r="L4" s="39" t="str">
        <x:v>中等偏低</x:v>
      </x:c>
      <x:c r="M4" s="39" t="n">
        <x:v>4</x:v>
      </x:c>
      <x:c r="N4" s="39" t="n">
        <x:v>4</x:v>
      </x:c>
      <x:c r="O4" s="39" t="n">
        <x:f>M4+N4</x:f>
        <x:v>8</x:v>
      </x:c>
      <x:c r="P4" s="39" t="str">
        <x:v>https://pdf.dfcfw.com/pdf/H3_AP202511211785486220_1.pdf</x:v>
      </x:c>
    </x:row>
    <x:row r="5" ht="54" customHeight="1">
      <x:c r="A5" s="39" t="str">
        <x:v>EMC/GMC</x:v>
      </x:c>
      <x:c r="B5" s="39" t="str">
        <x:v>环氧塑封料/颗粒状塑封料</x:v>
      </x:c>
      <x:c r="C5" s="39" t="str">
        <x:v>高性能/先进封装EMC国产化率低，HBM推动量价齐升</x:v>
      </x:c>
      <x:c r="D5" s="39" t="str">
        <x:v>AI芯片先进封装对低翘曲、高散热、高可靠性材料要求提高</x:v>
      </x:c>
      <x:c r="E5" s="39" t="str">
        <x:v>海外住友电木/力森诺科强势，国内验证壁垒高</x:v>
      </x:c>
      <x:c r="F5" s="39" t="str">
        <x:v>先进封装、功率器件、AI芯片、HBM</x:v>
      </x:c>
      <x:c r="G5" s="39" t="str">
        <x:v>较强：国产替代+产品结构升级</x:v>
      </x:c>
      <x:c r="H5" s="39" t="str">
        <x:v>国内EMC龙头和高性能产线受益</x:v>
      </x:c>
      <x:c r="I5" s="39" t="str">
        <x:v>华海诚科</x:v>
      </x:c>
      <x:c r="J5" s="39" t="str">
        <x:v>凯华材料、飞凯材料、圣泉集团、德邦科技</x:v>
      </x:c>
      <x:c r="K5" s="39" t="str">
        <x:v>EMC/GMC验证、产能利用率、先进封装产品单价</x:v>
      </x:c>
      <x:c r="L5" s="39" t="str">
        <x:v>中等</x:v>
      </x:c>
      <x:c r="M5" s="39" t="n">
        <x:v>4</x:v>
      </x:c>
      <x:c r="N5" s="39" t="n">
        <x:v>5</x:v>
      </x:c>
      <x:c r="O5" s="39" t="n">
        <x:f>M5+N5</x:f>
        <x:v>9</x:v>
      </x:c>
      <x:c r="P5" s="39" t="str">
        <x:v>https://pdf.dfcfw.com/pdf/H3_AP202511211785486220_1.pdf</x:v>
      </x:c>
    </x:row>
    <x:row r="6" ht="54" customHeight="1">
      <x:c r="A6" s="39" t="str">
        <x:v>ABF/BT载板</x:v>
      </x:c>
      <x:c r="B6" s="39" t="str">
        <x:v>封装载板</x:v>
      </x:c>
      <x:c r="C6" s="39" t="str">
        <x:v>AI/HBM需求推动高端载板紧缺，市场存在涨价预期</x:v>
      </x:c>
      <x:c r="D6" s="39" t="str">
        <x:v>高端载板扩产周期长、良率爬坡难；AI GPU+HBM封装需求上行</x:v>
      </x:c>
      <x:c r="E6" s="39" t="str">
        <x:v>Ibiden、欣兴、南电等海外/台系占优，国内产能不足</x:v>
      </x:c>
      <x:c r="F6" s="39" t="str">
        <x:v>AI GPU、HBM、国产GPU、存储</x:v>
      </x:c>
      <x:c r="G6" s="39" t="str">
        <x:v>较强：扩产慢且需求明确</x:v>
      </x:c>
      <x:c r="H6" s="39" t="str">
        <x:v>封装基板厂、PCB龙头、高端覆铜板材料受益</x:v>
      </x:c>
      <x:c r="I6" s="39" t="str">
        <x:v>兴森科技、深南电路</x:v>
      </x:c>
      <x:c r="J6" s="39" t="str">
        <x:v>沪电股份、生益电子、胜宏科技</x:v>
      </x:c>
      <x:c r="K6" s="39" t="str">
        <x:v>ABF交期、产能利用率、国产GPU订单、AI服务器出货</x:v>
      </x:c>
      <x:c r="L6" s="39" t="str">
        <x:v>较高</x:v>
      </x:c>
      <x:c r="M6" s="39" t="n">
        <x:v>4</x:v>
      </x:c>
      <x:c r="N6" s="39" t="n">
        <x:v>4</x:v>
      </x:c>
      <x:c r="O6" s="39" t="n">
        <x:f>M6+N6</x:f>
        <x:v>8</x:v>
      </x:c>
      <x:c r="P6" s="39" t="str">
        <x:v>https://www.cls.cn/detail/2353784</x:v>
      </x:c>
    </x:row>
    <x:row r="7" ht="54" customHeight="1">
      <x:c r="A7" s="39" t="str">
        <x:v>TGV玻璃基板</x:v>
      </x:c>
      <x:c r="B7" s="39" t="str">
        <x:v>玻璃通孔/玻璃基先进封装</x:v>
      </x:c>
      <x:c r="C7" s="39" t="str">
        <x:v>台积电CoPoS/玻璃基封装预期升温，A股玻璃基板概念活跃</x:v>
      </x:c>
      <x:c r="D7" s="39" t="str">
        <x:v>有机基板在大尺寸/高密度互联中面临翘曲和热稳定性瓶颈</x:v>
      </x:c>
      <x:c r="E7" s="39" t="str">
        <x:v>从0到1，工艺、良率、客户导入仍是瓶颈</x:v>
      </x:c>
      <x:c r="F7" s="39" t="str">
        <x:v>HBM4/HBM5、CoPoS、Chiplet、先进封装</x:v>
      </x:c>
      <x:c r="G7" s="39" t="str">
        <x:v>强但兑现周期长：预期差大</x:v>
      </x:c>
      <x:c r="H7" s="39" t="str">
        <x:v>TGV基板、激光钻孔/通孔设备、电镀/金属化材料</x:v>
      </x:c>
      <x:c r="I7" s="39" t="str">
        <x:v>沃格光电</x:v>
      </x:c>
      <x:c r="J7" s="39" t="str">
        <x:v>三超新材、帝尔激光、大族激光、天承科技、通富微电</x:v>
      </x:c>
      <x:c r="K7" s="39" t="str">
        <x:v>CoPoS量产时间、客户导入、TGV良率、设备订单</x:v>
      </x:c>
      <x:c r="L7" s="39" t="str">
        <x:v>较高</x:v>
      </x:c>
      <x:c r="M7" s="39" t="n">
        <x:v>4</x:v>
      </x:c>
      <x:c r="N7" s="39" t="n">
        <x:v>5</x:v>
      </x:c>
      <x:c r="O7" s="39" t="n">
        <x:f>M7+N7</x:f>
        <x:v>9</x:v>
      </x:c>
      <x:c r="P7" s="39" t="str">
        <x:v>https://wap.eastmoney.com/a/202606083762749356.html</x:v>
      </x:c>
    </x:row>
    <x:row r="8" ht="54" customHeight="1">
      <x:c r="A8" s="39" t="str">
        <x:v>电子级湿化学品</x:v>
      </x:c>
      <x:c r="B8" s="39" t="str">
        <x:v>电子级双氧水/硫酸/氨水/氢氟酸</x:v>
      </x:c>
      <x:c r="C8" s="39" t="str">
        <x:v>晶圆制造耗材，国产厂商扩产并导入高端客户</x:v>
      </x:c>
      <x:c r="D8" s="39" t="str">
        <x:v>半导体国产扩产+长鑫/长江存储/中芯/华虹带动消耗</x:v>
      </x:c>
      <x:c r="E8" s="39" t="str">
        <x:v>高端G4/G5级认证门槛高，但低端存在扩产过剩</x:v>
      </x:c>
      <x:c r="F8" s="39" t="str">
        <x:v>晶圆清洗、蚀刻、先进制程、存储扩产</x:v>
      </x:c>
      <x:c r="G8" s="39" t="str">
        <x:v>中等偏强：高端强，低端弱</x:v>
      </x:c>
      <x:c r="H8" s="39" t="str">
        <x:v>高端湿电子化学品国产替代，重点看G5级和大客户</x:v>
      </x:c>
      <x:c r="I8" s="39" t="str">
        <x:v>江化微、晶瑞电材</x:v>
      </x:c>
      <x:c r="J8" s="39" t="str">
        <x:v>上海新阳、中巨芯、格林达、兴福电子</x:v>
      </x:c>
      <x:c r="K8" s="39" t="str">
        <x:v>电子级双氧水价格、晶圆厂开工、G5级认证、毛利率</x:v>
      </x:c>
      <x:c r="L8" s="39" t="str">
        <x:v>偏低</x:v>
      </x:c>
      <x:c r="M8" s="39" t="n">
        <x:v>4</x:v>
      </x:c>
      <x:c r="N8" s="39" t="n">
        <x:v>3</x:v>
      </x:c>
      <x:c r="O8" s="39" t="n">
        <x:f>M8+N8</x:f>
        <x:v>7</x:v>
      </x:c>
      <x:c r="P8" s="39" t="str">
        <x:v>https://money.finance.sina.com.cn/corp/view/vCB_AllBulletinDetail.php?id=11414959&amp;stockid=300655</x:v>
      </x:c>
    </x:row>
    <x:row r="9" ht="54" customHeight="1">
      <x:c r="A9" s="39" t="str">
        <x:v>环氧丙烷PO</x:v>
      </x:c>
      <x:c r="B9" s="39" t="str">
        <x:v>PO/聚醚/聚氨酯</x:v>
      </x:c>
      <x:c r="C9" s="39" t="str">
        <x:v>6月10日部分厂家报价约9150元/吨；此前高点已回落</x:v>
      </x:c>
      <x:c r="D9" s="39" t="str">
        <x:v>装置检修/停车+低库存+下游阶段性抢货+成本支撑</x:v>
      </x:c>
      <x:c r="E9" s="39" t="str">
        <x:v>可复产、可扩产，供给弹性明显高于硫酸</x:v>
      </x:c>
      <x:c r="F9" s="39" t="str">
        <x:v>聚醚、聚氨酯、家电、汽车内饰、保温材料</x:v>
      </x:c>
      <x:c r="G9" s="39" t="str">
        <x:v>偏短：更像检修型涨价</x:v>
      </x:c>
      <x:c r="H9" s="39" t="str">
        <x:v>小市值PO纯度票弹性，龙头兑现确定性较强</x:v>
      </x:c>
      <x:c r="I9" s="39" t="str">
        <x:v>万华化学、滨化股份</x:v>
      </x:c>
      <x:c r="J9" s="39" t="str">
        <x:v>怡达股份、红宝丽、航锦科技</x:v>
      </x:c>
      <x:c r="K9" s="39" t="str">
        <x:v>PO现货报价、装置开工率、丙烯价格、聚醚价差</x:v>
      </x:c>
      <x:c r="L9" s="39" t="str">
        <x:v>已高</x:v>
      </x:c>
      <x:c r="M9" s="39" t="n">
        <x:v>3</x:v>
      </x:c>
      <x:c r="N9" s="39" t="n">
        <x:v>5</x:v>
      </x:c>
      <x:c r="O9" s="39" t="n">
        <x:f>M9+N9</x:f>
        <x:v>8</x:v>
      </x:c>
      <x:c r="P9" s="39" t="str">
        <x:v>https://po.100ppi.com/</x:v>
      </x:c>
    </x:row>
    <x:row r="10" ht="54" customHeight="1">
      <x:c r="A10" s="39" t="str">
        <x:v>PCB/高阶铜箔</x:v>
      </x:c>
      <x:c r="B10" s="39" t="str">
        <x:v>HVLP铜箔/Low Dk玻纤布/高阶PCB</x:v>
      </x:c>
      <x:c r="C10" s="39" t="str">
        <x:v>AI服务器带来高端PCB材料紧缺，海外机构称部分材料供需缺口明显</x:v>
      </x:c>
      <x:c r="D10" s="39" t="str">
        <x:v>GB200/GB300等AI服务器板材层数、信号完整性、散热要求提升</x:v>
      </x:c>
      <x:c r="E10" s="39" t="str">
        <x:v>高端材料认证+产能周期；低端锂电铜箔不等于高端HVLP</x:v>
      </x:c>
      <x:c r="F10" s="39" t="str">
        <x:v>AI服务器、交换机、高速连接、800G/1.6T</x:v>
      </x:c>
      <x:c r="G10" s="39" t="str">
        <x:v>较强但股价热度较高</x:v>
      </x:c>
      <x:c r="H10" s="39" t="str">
        <x:v>PCB龙头+高阶材料替代</x:v>
      </x:c>
      <x:c r="I10" s="39" t="str">
        <x:v>沪电股份、胜宏科技、深南电路</x:v>
      </x:c>
      <x:c r="J10" s="39" t="str">
        <x:v>诺德股份、嘉元科技、宏和科技、宏昌电子</x:v>
      </x:c>
      <x:c r="K10" s="39" t="str">
        <x:v>AI服务器订单、HVLP铜箔报价、玻纤布交期、PCB毛利率</x:v>
      </x:c>
      <x:c r="L10" s="39" t="str">
        <x:v>已高</x:v>
      </x:c>
      <x:c r="M10" s="39" t="n">
        <x:v>4</x:v>
      </x:c>
      <x:c r="N10" s="39" t="n">
        <x:v>3</x:v>
      </x:c>
      <x:c r="O10" s="39" t="n">
        <x:f>M10+N10</x:f>
        <x:v>7</x:v>
      </x:c>
      <x:c r="P10" s="39" t="str">
        <x:v>https://www.sinotrade.com.tw/richclub/hotstock/2026-PCB-%E5%85%A8%E9%9D%A2%E7%BC%BA%E8%B2%A8%E6%BC%B2%E5%83%B9%E5%AE%8C%E6%95%B4%E8%A7%A3%E6%9E%90-%E5%9B%9B%E5%A4%A7%E6%88%B0%E7%95%A5%E7%89%A9%E8%B3%87%E7%9F%AD%E7%BC%BA-ABF-%E8%BC%89%E6%9D%BF%E8%B6%85%E7%B4%9A%E5%BE%AA%E7%92%B0%E8%88%87%E5%8F%B0%E7%81%A3%E4%BE%9B%E6%87%89%E9%8F%88%E6%8A%95%E8%B3%87%E5%9C%B0%E5%9C%96-%E8%82%A1%E5%B8%82%E8%A9%B1%E9%A1%8C-6a226b1f6c6d82bf0a7d4803</x:v>
      </x:c>
    </x:row>
    <x:row r="11" ht="54" customHeight="1">
      <x:c r="A11" s="39" t="str">
        <x:v>小金属/钨资源</x:v>
      </x:c>
      <x:c r="B11" s="39" t="str">
        <x:v>钨、铋、锑等</x:v>
      </x:c>
      <x:c r="C11" s="39" t="str">
        <x:v>半导体材料、军工、光伏/电子材料带动部分小金属价格强势</x:v>
      </x:c>
      <x:c r="D11" s="39" t="str">
        <x:v>资源约束、出口管制、库存低、海外补库</x:v>
      </x:c>
      <x:c r="E11" s="39" t="str">
        <x:v>矿山资源刚性，审批和环保限制</x:v>
      </x:c>
      <x:c r="F11" s="39" t="str">
        <x:v>硬质合金、半导体气体原料、军工、电子材料</x:v>
      </x:c>
      <x:c r="G11" s="39" t="str">
        <x:v>中等偏强：取决于品种库存和政策</x:v>
      </x:c>
      <x:c r="H11" s="39" t="str">
        <x:v>资源型公司和深加工企业受益</x:v>
      </x:c>
      <x:c r="I11" s="39" t="str">
        <x:v>厦门钨业、章源钨业</x:v>
      </x:c>
      <x:c r="J11" s="39" t="str">
        <x:v>湖南黄金、驰宏锌锗、株冶集团</x:v>
      </x:c>
      <x:c r="K11" s="39" t="str">
        <x:v>钨精矿/APT价格、出口政策、库存、下游开工</x:v>
      </x:c>
      <x:c r="L11" s="39" t="str">
        <x:v>中等</x:v>
      </x:c>
      <x:c r="M11" s="39" t="n">
        <x:v>4</x:v>
      </x:c>
      <x:c r="N11" s="39" t="n">
        <x:v>4</x:v>
      </x:c>
      <x:c r="O11" s="39" t="n">
        <x:f>M11+N11</x:f>
        <x:v>8</x:v>
      </x:c>
      <x:c r="P11" s="39" t="str">
        <x:v>https://static.weeklyonstock.com/26/0607/qdy141035.html</x:v>
      </x:c>
    </x:row>
    <x:row r="12" ht="54" customHeight="1">
      <x:c r="A12" s="39" t="str">
        <x:v>电子布/玻纤布</x:v>
      </x:c>
      <x:c r="B12" s="39" t="str">
        <x:v>Low Dk电子布、Low CTE电子布、电子纱</x:v>
      </x:c>
      <x:c r="C12" s="39" t="str">
        <x:v>2025年末以来覆铜板/高端PCB材料涨价延续，AI服务器推动高端电子布交期拉长</x:v>
      </x:c>
      <x:c r="D12" s="39" t="str">
        <x:v>AI服务器高速信号传输要求提升，低介电、低损耗、低热膨胀材料稀缺</x:v>
      </x:c>
      <x:c r="E12" s="39" t="str">
        <x:v>高端电子布认证周期长；低端玻纤可扩产但不能替代高端Low Dk产品</x:v>
      </x:c>
      <x:c r="F12" s="39" t="str">
        <x:v>AI服务器PCB、800G/1.6T交换机、GPU主板、高速CCL</x:v>
      </x:c>
      <x:c r="G12" s="39" t="str">
        <x:v>较强：取决于AI服务器排产和高端电子布国产化</x:v>
      </x:c>
      <x:c r="H12" s="39" t="str">
        <x:v>电子布/电子纱厂、CCL龙头受益；重点看高端而不是普通玻纤</x:v>
      </x:c>
      <x:c r="I12" s="39" t="str">
        <x:v>宏和科技、中国巨石</x:v>
      </x:c>
      <x:c r="J12" s="39" t="str">
        <x:v>中材科技、生益科技、南亚新材、金安国纪</x:v>
      </x:c>
      <x:c r="K12" s="39" t="str">
        <x:v>电子布报价、建滔/南亚调价函、AI服务器PCB订单、CCL毛利率</x:v>
      </x:c>
      <x:c r="L12" s="39" t="str">
        <x:v>中高</x:v>
      </x:c>
      <x:c r="M12" s="39" t="n">
        <x:v>4</x:v>
      </x:c>
      <x:c r="N12" s="39" t="n">
        <x:v>4</x:v>
      </x:c>
      <x:c r="O12" s="39" t="n">
        <x:v>8</x:v>
      </x:c>
      <x:c r="P12" s="39" t="str">
        <x:v>https://www.cls.cn/detail/2341583</x:v>
      </x:c>
    </x:row>
    <x:row r="13">
      <x:c r="A13" s="39" t="str">
        <x:v>高端铜箔</x:v>
      </x:c>
      <x:c r="B13" s="39" t="str">
        <x:v>HVLP铜箔、VLP铜箔、载体铜箔</x:v>
      </x:c>
      <x:c r="C13" s="39" t="str">
        <x:v>铜箔板块2026年明显跑赢新能源链，部分公司高端PCB铜箔收入占比提升</x:v>
      </x:c>
      <x:c r="D13" s="39" t="str">
        <x:v>AI服务器/高速通信要求低粗糙度、低损耗铜箔；1.6T光模块载体铜箔需求增量明确</x:v>
      </x:c>
      <x:c r="E13" s="39" t="str">
        <x:v>低端锂电铜箔过剩，高端HVLP铜箔认证壁垒高</x:v>
      </x:c>
      <x:c r="F13" s="39" t="str">
        <x:v>AI服务器PCB、交换机、光模块、GPU高速互联</x:v>
      </x:c>
      <x:c r="G13" s="39" t="str">
        <x:v>较强但分化：高端强、低端弱</x:v>
      </x:c>
      <x:c r="H13" s="39" t="str">
        <x:v>重点找高端PCB铜箔占比提升的公司，而非单纯锂电铜箔</x:v>
      </x:c>
      <x:c r="I13" s="39" t="str">
        <x:v>铜冠铜箔、诺德股份</x:v>
      </x:c>
      <x:c r="J13" s="39" t="str">
        <x:v>德福科技、嘉元科技、中一科技、方邦股份、万顺新材</x:v>
      </x:c>
      <x:c r="K13" s="39" t="str">
        <x:v>HVLP铜箔价格、载体铜箔订单、PCB铜箔收入占比、客户认证</x:v>
      </x:c>
      <x:c r="L13" s="39" t="str">
        <x:v>高</x:v>
      </x:c>
      <x:c r="M13" s="39" t="n">
        <x:v>4</x:v>
      </x:c>
      <x:c r="N13" s="39" t="n">
        <x:v>4</x:v>
      </x:c>
      <x:c r="O13" s="39" t="n">
        <x:v>8</x:v>
      </x:c>
      <x:c r="P13" s="39" t="str">
        <x:v>https://wap.eastmoney.com/a/202606043760362711.html</x:v>
      </x:c>
    </x:row>
    <x:row r="14">
      <x:c r="A14" s="39" t="str">
        <x:v>MLCC</x:v>
      </x:c>
      <x:c r="B14" s="39" t="str">
        <x:v>高容MLCC、车规/服务器MLCC、射频微波MLCC</x:v>
      </x:c>
      <x:c r="C14" s="39" t="str">
        <x:v>AI服务器MLCC用量提升，市场称价格下行周期迎拐点；A股板块近期活跃</x:v>
      </x:c>
      <x:c r="D14" s="39" t="str">
        <x:v>AI服务器单机MLCC颗数和高端占比提升；日韩厂商高端产能紧张，国产替代预期升温</x:v>
      </x:c>
      <x:c r="E14" s="39" t="str">
        <x:v>消费级MLCC供给仍充足，高端高容/高可靠产品认证壁垒高</x:v>
      </x:c>
      <x:c r="F14" s="39" t="str">
        <x:v>AI服务器、汽车电子、通信设备、军工电子</x:v>
      </x:c>
      <x:c r="G14" s="39" t="str">
        <x:v>中等偏强：取决于高端产品订单，不是全品类普涨</x:v>
      </x:c>
      <x:c r="H14" s="39" t="str">
        <x:v>国产MLCC龙头和上游陶瓷粉体受益</x:v>
      </x:c>
      <x:c r="I14" s="39" t="str">
        <x:v>风华高科、三环集团</x:v>
      </x:c>
      <x:c r="J14" s="39" t="str">
        <x:v>国瓷材料、火炬电子、鸿远电子、振华科技、达利凯普</x:v>
      </x:c>
      <x:c r="K14" s="39" t="str">
        <x:v>村田/国巨交期、AI服务器订单、高容产品占比、产能利用率</x:v>
      </x:c>
      <x:c r="L14" s="39" t="str">
        <x:v>中高</x:v>
      </x:c>
      <x:c r="M14" s="39" t="n">
        <x:v>4</x:v>
      </x:c>
      <x:c r="N14" s="39" t="n">
        <x:v>4</x:v>
      </x:c>
      <x:c r="O14" s="39" t="n">
        <x:v>8</x:v>
      </x:c>
      <x:c r="P14" s="39" t="str">
        <x:v>https://m.cls.cn/detail/2381653</x:v>
      </x:c>
    </x:row>
    <x:row r="15">
      <x:c r="A15" s="39" t="str">
        <x:v>PPE/PPO树脂</x:v>
      </x:c>
      <x:c r="B15" s="39" t="str">
        <x:v>电子级PPO/PPE低介电树脂、工程塑料PPE</x:v>
      </x:c>
      <x:c r="C15" s="39" t="str">
        <x:v>全球工程塑料PPE供应扰动引发市场关注；圣泉集团称其电子级PPO与报道中工程塑料PPE分属不同体系且先进电子材料价格稳定</x:v>
      </x:c>
      <x:c r="D15" s="39" t="str">
        <x:v>高速高频覆铜板需要低介电、低损耗树脂；AI服务器推动高频材料需求</x:v>
      </x:c>
      <x:c r="E15" s="39" t="str">
        <x:v>电子级树脂认证壁垒高，但本轮“70% PPE供应中断”与A股电子级PPO不能直接划等号</x:v>
      </x:c>
      <x:c r="F15" s="39" t="str">
        <x:v>AI服务器PCB、高速覆铜板、5G/通信、低损耗材料</x:v>
      </x:c>
      <x:c r="G15" s="39" t="str">
        <x:v>中等：产业方向强，但短期涨价证据弱</x:v>
      </x:c>
      <x:c r="H15" s="39" t="str">
        <x:v>上游电子树脂和下游CCL材料企业受益，需看真实提价和订单</x:v>
      </x:c>
      <x:c r="I15" s="39" t="str">
        <x:v>圣泉集团、东材科技</x:v>
      </x:c>
      <x:c r="J15" s="39" t="str">
        <x:v>宏昌电子、生益科技、南亚新材、华正新材</x:v>
      </x:c>
      <x:c r="K15" s="39" t="str">
        <x:v>树脂报价、CCL调价函、公司互动澄清、高速材料收入占比</x:v>
      </x:c>
      <x:c r="L15" s="39" t="str">
        <x:v>中</x:v>
      </x:c>
      <x:c r="M15" s="39" t="n">
        <x:v>3</x:v>
      </x:c>
      <x:c r="N15" s="39" t="n">
        <x:v>3</x:v>
      </x:c>
      <x:c r="O15" s="39" t="n">
        <x:v>6</x:v>
      </x:c>
      <x:c r="P15" s="39" t="str">
        <x:v>https://www.stcn.com/article/detail/3952261.html</x:v>
      </x:c>
    </x:row>
  </x:sheetData>
  <x:conditionalFormatting sqref="M2:O12">
    <x:cfRule type="colorScale" priority="1">
      <x:colorScale>
        <x:cfvo type="min"/>
        <x:cfvo type="percentile" val="50"/>
        <x:cfvo type="max"/>
        <x:color rgb="F8CBAD"/>
        <x:color rgb="FFE699"/>
        <x:color rgb="C6E0B4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bcf13b4715540f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18" hidden="0" customWidth="1"/>
    <x:col min="5" max="5" width="8" hidden="0" customWidth="1"/>
    <x:col min="6" max="6" width="8" hidden="0" customWidth="1"/>
    <x:col min="7" max="7" width="8" hidden="0" customWidth="1"/>
    <x:col min="8" max="8" width="4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</x:cols>
  <x:sheetData>
    <x:row r="1" ht="48" customHeight="1">
      <x:c r="A1" s="53" t="str">
        <x:v>证券代码</x:v>
      </x:c>
      <x:c r="B1" s="46" t="str">
        <x:v>公司</x:v>
      </x:c>
      <x:c r="C1" s="46" t="str">
        <x:v>对应主线</x:v>
      </x:c>
      <x:c r="D1" s="46" t="str">
        <x:v>定位</x:v>
      </x:c>
      <x:c r="E1" s="46" t="str">
        <x:v>纯度</x:v>
      </x:c>
      <x:c r="F1" s="46" t="str">
        <x:v>弹性</x:v>
      </x:c>
      <x:c r="G1" s="46" t="str">
        <x:v>确定性</x:v>
      </x:c>
      <x:c r="H1" s="46" t="str">
        <x:v>核心逻辑</x:v>
      </x:c>
      <x:c r="I1" s="46" t="str">
        <x:v>催化剂</x:v>
      </x:c>
      <x:c r="J1" s="46" t="str">
        <x:v>主要风险</x:v>
      </x:c>
      <x:c r="K1" s="46" t="str">
        <x:v>跟踪指标</x:v>
      </x:c>
      <x:c r="L1" s="46" t="str">
        <x:v>备注</x:v>
      </x:c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 ht="48" customHeight="1">
      <x:c r="A2" s="48" t="str">
        <x:v>000630</x:v>
      </x:c>
      <x:c r="B2" s="39" t="str">
        <x:v>铜陵有色</x:v>
      </x:c>
      <x:c r="C2" s="39" t="str">
        <x:v>硫酸/铜冶炼</x:v>
      </x:c>
      <x:c r="D2" s="39" t="str">
        <x:v>基本面龙头</x:v>
      </x:c>
      <x:c r="E2" s="39" t="n">
        <x:v>5</x:v>
      </x:c>
      <x:c r="F2" s="39" t="n">
        <x:v>3</x:v>
      </x:c>
      <x:c r="G2" s="39" t="n">
        <x:v>5</x:v>
      </x:c>
      <x:c r="H2" s="39" t="str">
        <x:v>铜冶炼副产硫酸，硫酸涨价直接增厚副产品利润；同时受益铜需求</x:v>
      </x:c>
      <x:c r="I2" s="39" t="str">
        <x:v>硫酸继续涨、铜价强、铜冶炼副产品利润改善</x:v>
      </x:c>
      <x:c r="J2" s="39" t="str">
        <x:v>铜精矿TC低压缩冶炼利润、硫酸回落</x:v>
      </x:c>
      <x:c r="K2" s="39" t="str">
        <x:v>硫酸价格/铜价/TC/产量</x:v>
      </x:c>
      <x:c r="L2" s="39" t="str">
        <x:v>适合看确定性</x:v>
      </x:c>
    </x:row>
    <x:row r="3" ht="48" customHeight="1">
      <x:c r="A3" s="48" t="str">
        <x:v>600362</x:v>
      </x:c>
      <x:c r="B3" s="39" t="str">
        <x:v>江西铜业</x:v>
      </x:c>
      <x:c r="C3" s="39" t="str">
        <x:v>硫酸/铜冶炼</x:v>
      </x:c>
      <x:c r="D3" s="39" t="str">
        <x:v>机构龙头</x:v>
      </x:c>
      <x:c r="E3" s="39" t="n">
        <x:v>4</x:v>
      </x:c>
      <x:c r="F3" s="39" t="n">
        <x:v>2</x:v>
      </x:c>
      <x:c r="G3" s="39" t="n">
        <x:v>5</x:v>
      </x:c>
      <x:c r="H3" s="39" t="str">
        <x:v>铜冶炼规模大，副产硫酸规模大，业绩兑现较稳</x:v>
      </x:c>
      <x:c r="I3" s="39" t="str">
        <x:v>铜+硫酸共振</x:v>
      </x:c>
      <x:c r="J3" s="39" t="str">
        <x:v>体量大弹性一般</x:v>
      </x:c>
      <x:c r="K3" s="39" t="str">
        <x:v>硫酸价格/铜价/产量</x:v>
      </x:c>
      <x:c r="L3" s="39" t="str">
        <x:v>稳健型</x:v>
      </x:c>
    </x:row>
    <x:row r="4" ht="48" customHeight="1">
      <x:c r="A4" s="48" t="str">
        <x:v>000878</x:v>
      </x:c>
      <x:c r="B4" s="39" t="str">
        <x:v>云南铜业</x:v>
      </x:c>
      <x:c r="C4" s="39" t="str">
        <x:v>硫酸/铜冶炼</x:v>
      </x:c>
      <x:c r="D4" s="39" t="str">
        <x:v>跟随弹性</x:v>
      </x:c>
      <x:c r="E4" s="39" t="n">
        <x:v>4</x:v>
      </x:c>
      <x:c r="F4" s="39" t="n">
        <x:v>3</x:v>
      </x:c>
      <x:c r="G4" s="39" t="n">
        <x:v>4</x:v>
      </x:c>
      <x:c r="H4" s="39" t="str">
        <x:v>铜冶炼副产硫酸，弹性高于江铜但确定性略低</x:v>
      </x:c>
      <x:c r="I4" s="39" t="str">
        <x:v>硫酸涨价扩散</x:v>
      </x:c>
      <x:c r="J4" s="39" t="str">
        <x:v>成本和矿端扰动</x:v>
      </x:c>
      <x:c r="K4" s="39" t="str">
        <x:v>硫酸价格/铜价/产量</x:v>
      </x:c>
      <x:c r="L4" s="39" t="str">
        <x:v>中等弹性</x:v>
      </x:c>
    </x:row>
    <x:row r="5" ht="48" customHeight="1">
      <x:c r="A5" s="48" t="str">
        <x:v>000833</x:v>
      </x:c>
      <x:c r="B5" s="39" t="str">
        <x:v>粤桂股份</x:v>
      </x:c>
      <x:c r="C5" s="39" t="str">
        <x:v>硫铁矿/硫酸</x:v>
      </x:c>
      <x:c r="D5" s="39" t="str">
        <x:v>题材弹性</x:v>
      </x:c>
      <x:c r="E5" s="39" t="n">
        <x:v>4</x:v>
      </x:c>
      <x:c r="F5" s="39" t="n">
        <x:v>5</x:v>
      </x:c>
      <x:c r="G5" s="39" t="n">
        <x:v>3</x:v>
      </x:c>
      <x:c r="H5" s="39" t="str">
        <x:v>硫铁矿+硫酸路线，小市值，资源涨价弹性强</x:v>
      </x:c>
      <x:c r="I5" s="39" t="str">
        <x:v>硫酸/硫磺继续强势、游资炒资源涨价</x:v>
      </x:c>
      <x:c r="J5" s="39" t="str">
        <x:v>主营复杂、业绩兑现需验证</x:v>
      </x:c>
      <x:c r="K5" s="39" t="str">
        <x:v>硫酸价格/硫铁矿产量/毛利</x:v>
      </x:c>
      <x:c r="L5" s="39" t="str">
        <x:v>弹性票</x:v>
      </x:c>
    </x:row>
    <x:row r="6" ht="48" customHeight="1">
      <x:c r="A6" s="48" t="str">
        <x:v>688146</x:v>
      </x:c>
      <x:c r="B6" s="39" t="str">
        <x:v>中船特气</x:v>
      </x:c>
      <x:c r="C6" s="39" t="str">
        <x:v>六氟化钨/电子特气</x:v>
      </x:c>
      <x:c r="D6" s="39" t="str">
        <x:v>核心龙头</x:v>
      </x:c>
      <x:c r="E6" s="39" t="n">
        <x:v>5</x:v>
      </x:c>
      <x:c r="F6" s="39" t="n">
        <x:v>4</x:v>
      </x:c>
      <x:c r="G6" s="39" t="n">
        <x:v>5</x:v>
      </x:c>
      <x:c r="H6" s="39" t="str">
        <x:v>WF6、NF3等电子特气龙头，半导体材料国产替代+存储扩产</x:v>
      </x:c>
      <x:c r="I6" s="39" t="str">
        <x:v>WF6涨价、长鑫/长存扩产、国产替代</x:v>
      </x:c>
      <x:c r="J6" s="39" t="str">
        <x:v>客户验证、价格回落、估值</x:v>
      </x:c>
      <x:c r="K6" s="39" t="str">
        <x:v>WF6价格/订单/产能利用率</x:v>
      </x:c>
      <x:c r="L6" s="39" t="str">
        <x:v>最正宗</x:v>
      </x:c>
    </x:row>
    <x:row r="7" ht="48" customHeight="1">
      <x:c r="A7" s="48" t="str">
        <x:v>600378</x:v>
      </x:c>
      <x:c r="B7" s="39" t="str">
        <x:v>昊华科技</x:v>
      </x:c>
      <x:c r="C7" s="39" t="str">
        <x:v>电子特气</x:v>
      </x:c>
      <x:c r="D7" s="39" t="str">
        <x:v>央企综合龙头</x:v>
      </x:c>
      <x:c r="E7" s="39" t="n">
        <x:v>4</x:v>
      </x:c>
      <x:c r="F7" s="39" t="n">
        <x:v>3</x:v>
      </x:c>
      <x:c r="G7" s="39" t="n">
        <x:v>4</x:v>
      </x:c>
      <x:c r="H7" s="39" t="str">
        <x:v>电子特气平台型企业，受益半导体特气景气</x:v>
      </x:c>
      <x:c r="I7" s="39" t="str">
        <x:v>WF6/NF3需求上行</x:v>
      </x:c>
      <x:c r="J7" s="39" t="str">
        <x:v>业务复杂导致弹性分散</x:v>
      </x:c>
      <x:c r="K7" s="39" t="str">
        <x:v>电子特气收入/毛利</x:v>
      </x:c>
      <x:c r="L7" s="39" t="str">
        <x:v>稳健</x:v>
      </x:c>
    </x:row>
    <x:row r="8" ht="48" customHeight="1">
      <x:c r="A8" s="48" t="str">
        <x:v>688268</x:v>
      </x:c>
      <x:c r="B8" s="39" t="str">
        <x:v>华特气体</x:v>
      </x:c>
      <x:c r="C8" s="39" t="str">
        <x:v>电子特气</x:v>
      </x:c>
      <x:c r="D8" s="39" t="str">
        <x:v>国产替代</x:v>
      </x:c>
      <x:c r="E8" s="39" t="n">
        <x:v>3</x:v>
      </x:c>
      <x:c r="F8" s="39" t="n">
        <x:v>4</x:v>
      </x:c>
      <x:c r="G8" s="39" t="n">
        <x:v>3</x:v>
      </x:c>
      <x:c r="H8" s="39" t="str">
        <x:v>电子特气品类多，半导体国产化受益</x:v>
      </x:c>
      <x:c r="I8" s="39" t="str">
        <x:v>特气涨价/客户导入</x:v>
      </x:c>
      <x:c r="J8" s="39" t="str">
        <x:v>WF6纯度不如中船</x:v>
      </x:c>
      <x:c r="K8" s="39" t="str">
        <x:v>半导体客户收入</x:v>
      </x:c>
      <x:c r="L8" s="39" t="str">
        <x:v>扩散票</x:v>
      </x:c>
    </x:row>
    <x:row r="9" ht="48" customHeight="1">
      <x:c r="A9" s="48" t="str">
        <x:v>688035</x:v>
      </x:c>
      <x:c r="B9" s="39" t="str">
        <x:v>德邦科技</x:v>
      </x:c>
      <x:c r="C9" s="39" t="str">
        <x:v>Underfill/封装胶</x:v>
      </x:c>
      <x:c r="D9" s="39" t="str">
        <x:v>Underfill龙头</x:v>
      </x:c>
      <x:c r="E9" s="39" t="n">
        <x:v>5</x:v>
      </x:c>
      <x:c r="F9" s="39" t="n">
        <x:v>5</x:v>
      </x:c>
      <x:c r="G9" s="39" t="n">
        <x:v>4</x:v>
      </x:c>
      <x:c r="H9" s="39" t="str">
        <x:v>底部填充胶、固晶胶、导热材料，先进封装材料受益</x:v>
      </x:c>
      <x:c r="I9" s="39" t="str">
        <x:v>HBM/Chiplet封装扩产、客户验证</x:v>
      </x:c>
      <x:c r="J9" s="39" t="str">
        <x:v>认证慢、订单兑现不确定</x:v>
      </x:c>
      <x:c r="K9" s="39" t="str">
        <x:v>先进封装材料收入/客户导入</x:v>
      </x:c>
      <x:c r="L9" s="39" t="str">
        <x:v>重点关注</x:v>
      </x:c>
    </x:row>
    <x:row r="10" ht="48" customHeight="1">
      <x:c r="A10" s="48" t="str">
        <x:v>688535</x:v>
      </x:c>
      <x:c r="B10" s="39" t="str">
        <x:v>华海诚科</x:v>
      </x:c>
      <x:c r="C10" s="39" t="str">
        <x:v>EMC/GMC</x:v>
      </x:c>
      <x:c r="D10" s="39" t="str">
        <x:v>EMC核心</x:v>
      </x:c>
      <x:c r="E10" s="39" t="n">
        <x:v>5</x:v>
      </x:c>
      <x:c r="F10" s="39" t="n">
        <x:v>5</x:v>
      </x:c>
      <x:c r="G10" s="39" t="n">
        <x:v>4</x:v>
      </x:c>
      <x:c r="H10" s="39" t="str">
        <x:v>国内EMC领先，收购衡所华威后规模提升，先进封装材料国产替代</x:v>
      </x:c>
      <x:c r="I10" s="39" t="str">
        <x:v>高性能EMC/GMC验证、HBM封装材料放量</x:v>
      </x:c>
      <x:c r="J10" s="39" t="str">
        <x:v>竞争和验证周期</x:v>
      </x:c>
      <x:c r="K10" s="39" t="str">
        <x:v>EMC销量/均价/客户</x:v>
      </x:c>
      <x:c r="L10" s="39" t="str">
        <x:v>重点关注</x:v>
      </x:c>
    </x:row>
    <x:row r="11" ht="48" customHeight="1">
      <x:c r="A11" s="48" t="str">
        <x:v>002409</x:v>
      </x:c>
      <x:c r="B11" s="39" t="str">
        <x:v>雅克科技</x:v>
      </x:c>
      <x:c r="C11" s="39" t="str">
        <x:v>前驱体/电子材料/HBM</x:v>
      </x:c>
      <x:c r="D11" s="39" t="str">
        <x:v>材料平台</x:v>
      </x:c>
      <x:c r="E11" s="39" t="n">
        <x:v>4</x:v>
      </x:c>
      <x:c r="F11" s="39" t="n">
        <x:v>3</x:v>
      </x:c>
      <x:c r="G11" s="39" t="n">
        <x:v>4</x:v>
      </x:c>
      <x:c r="H11" s="39" t="str">
        <x:v>前驱体和电子材料平台型企业，受益HBM/先进制程材料需求</x:v>
      </x:c>
      <x:c r="I11" s="39" t="str">
        <x:v>HBM/存储景气</x:v>
      </x:c>
      <x:c r="J11" s="39" t="str">
        <x:v>业务结构复杂，估值已反映部分预期</x:v>
      </x:c>
      <x:c r="K11" s="39" t="str">
        <x:v>前驱体收入/客户订单</x:v>
      </x:c>
      <x:c r="L11" s="39" t="str">
        <x:v>机构偏好</x:v>
      </x:c>
    </x:row>
    <x:row r="12" ht="48" customHeight="1">
      <x:c r="A12" s="48" t="str">
        <x:v>002436</x:v>
      </x:c>
      <x:c r="B12" s="39" t="str">
        <x:v>兴森科技</x:v>
      </x:c>
      <x:c r="C12" s="39" t="str">
        <x:v>ABF/封装基板</x:v>
      </x:c>
      <x:c r="D12" s="39" t="str">
        <x:v>ABF核心</x:v>
      </x:c>
      <x:c r="E12" s="39" t="n">
        <x:v>5</x:v>
      </x:c>
      <x:c r="F12" s="39" t="n">
        <x:v>4</x:v>
      </x:c>
      <x:c r="G12" s="39" t="n">
        <x:v>4</x:v>
      </x:c>
      <x:c r="H12" s="39" t="str">
        <x:v>国内封装基板投入较早，ABF国产替代核心标的</x:v>
      </x:c>
      <x:c r="I12" s="39" t="str">
        <x:v>ABF涨价、国产GPU/HBM封装</x:v>
      </x:c>
      <x:c r="J12" s="39" t="str">
        <x:v>良率爬坡/亏损压力</x:v>
      </x:c>
      <x:c r="K12" s="39" t="str">
        <x:v>ABF产能/良率/订单</x:v>
      </x:c>
      <x:c r="L12" s="39" t="str">
        <x:v>核心标的</x:v>
      </x:c>
    </x:row>
    <x:row r="13" ht="48" customHeight="1">
      <x:c r="A13" s="48" t="str">
        <x:v>002916</x:v>
      </x:c>
      <x:c r="B13" s="39" t="str">
        <x:v>深南电路</x:v>
      </x:c>
      <x:c r="C13" s="39" t="str">
        <x:v>封装基板/PCB</x:v>
      </x:c>
      <x:c r="D13" s="39" t="str">
        <x:v>PCB+基板龙头</x:v>
      </x:c>
      <x:c r="E13" s="39" t="n">
        <x:v>4</x:v>
      </x:c>
      <x:c r="F13" s="39" t="n">
        <x:v>3</x:v>
      </x:c>
      <x:c r="G13" s="39" t="n">
        <x:v>5</x:v>
      </x:c>
      <x:c r="H13" s="39" t="str">
        <x:v>PCB龙头，同时布局封装基板，受益AI服务器和高端载板</x:v>
      </x:c>
      <x:c r="I13" s="39" t="str">
        <x:v>AI服务器订单、载板景气</x:v>
      </x:c>
      <x:c r="J13" s="39" t="str">
        <x:v>市值大弹性中等</x:v>
      </x:c>
      <x:c r="K13" s="39" t="str">
        <x:v>订单/毛利/产能</x:v>
      </x:c>
      <x:c r="L13" s="39" t="str">
        <x:v>确定性高</x:v>
      </x:c>
    </x:row>
    <x:row r="14" ht="48" customHeight="1">
      <x:c r="A14" s="48" t="str">
        <x:v>603773</x:v>
      </x:c>
      <x:c r="B14" s="39" t="str">
        <x:v>沃格光电</x:v>
      </x:c>
      <x:c r="C14" s="39" t="str">
        <x:v>TGV玻璃基板</x:v>
      </x:c>
      <x:c r="D14" s="39" t="str">
        <x:v>TGV核心</x:v>
      </x:c>
      <x:c r="E14" s="39" t="n">
        <x:v>5</x:v>
      </x:c>
      <x:c r="F14" s="39" t="n">
        <x:v>5</x:v>
      </x:c>
      <x:c r="G14" s="39" t="n">
        <x:v>3</x:v>
      </x:c>
      <x:c r="H14" s="39" t="str">
        <x:v>TGV、PVD铜金属化、玻璃基封装技术布局，预期差大</x:v>
      </x:c>
      <x:c r="I14" s="39" t="str">
        <x:v>CoPoS/玻璃基板产业化、客户导入</x:v>
      </x:c>
      <x:c r="J14" s="39" t="str">
        <x:v>从0到1，兑现周期长</x:v>
      </x:c>
      <x:c r="K14" s="39" t="str">
        <x:v>TGV订单/良率/客户认证</x:v>
      </x:c>
      <x:c r="L14" s="39" t="str">
        <x:v>弹性核心</x:v>
      </x:c>
    </x:row>
    <x:row r="15" ht="48" customHeight="1">
      <x:c r="A15" s="48" t="str">
        <x:v>300554</x:v>
      </x:c>
      <x:c r="B15" s="39" t="str">
        <x:v>三超新材</x:v>
      </x:c>
      <x:c r="C15" s="39" t="str">
        <x:v>TGV加工/设备耗材</x:v>
      </x:c>
      <x:c r="D15" s="39" t="str">
        <x:v>弹性设备</x:v>
      </x:c>
      <x:c r="E15" s="39" t="n">
        <x:v>4</x:v>
      </x:c>
      <x:c r="F15" s="39" t="n">
        <x:v>5</x:v>
      </x:c>
      <x:c r="G15" s="39" t="n">
        <x:v>3</x:v>
      </x:c>
      <x:c r="H15" s="39" t="str">
        <x:v>TGV加工设备/耗材方向，玻璃基封装扩散标的</x:v>
      </x:c>
      <x:c r="I15" s="39" t="str">
        <x:v>TGV量产线建设</x:v>
      </x:c>
      <x:c r="J15" s="39" t="str">
        <x:v>业务体量小，订单不确定</x:v>
      </x:c>
      <x:c r="K15" s="39" t="str">
        <x:v>设备订单/客户</x:v>
      </x:c>
      <x:c r="L15" s="39" t="str">
        <x:v>高弹性</x:v>
      </x:c>
    </x:row>
    <x:row r="16" ht="48" customHeight="1">
      <x:c r="A16" s="48" t="str">
        <x:v>300776</x:v>
      </x:c>
      <x:c r="B16" s="39" t="str">
        <x:v>帝尔激光</x:v>
      </x:c>
      <x:c r="C16" s="39" t="str">
        <x:v>TGV激光加工</x:v>
      </x:c>
      <x:c r="D16" s="39" t="str">
        <x:v>设备龙头</x:v>
      </x:c>
      <x:c r="E16" s="39" t="n">
        <x:v>3</x:v>
      </x:c>
      <x:c r="F16" s="39" t="n">
        <x:v>3</x:v>
      </x:c>
      <x:c r="G16" s="39" t="n">
        <x:v>4</x:v>
      </x:c>
      <x:c r="H16" s="39" t="str">
        <x:v>激光设备能力强，玻璃通孔/先进封装加工潜在受益</x:v>
      </x:c>
      <x:c r="I16" s="39" t="str">
        <x:v>玻璃基板设备需求</x:v>
      </x:c>
      <x:c r="J16" s="39" t="str">
        <x:v>TGV收入占比需验证</x:v>
      </x:c>
      <x:c r="K16" s="39" t="str">
        <x:v>设备订单/研发进展</x:v>
      </x:c>
      <x:c r="L16" s="39" t="str">
        <x:v>偏中线</x:v>
      </x:c>
    </x:row>
    <x:row r="17" ht="48" customHeight="1">
      <x:c r="A17" s="48" t="str">
        <x:v>603078</x:v>
      </x:c>
      <x:c r="B17" s="39" t="str">
        <x:v>江化微</x:v>
      </x:c>
      <x:c r="C17" s="39" t="str">
        <x:v>湿电子化学品</x:v>
      </x:c>
      <x:c r="D17" s="39" t="str">
        <x:v>湿化学品龙头</x:v>
      </x:c>
      <x:c r="E17" s="39" t="n">
        <x:v>4</x:v>
      </x:c>
      <x:c r="F17" s="39" t="n">
        <x:v>4</x:v>
      </x:c>
      <x:c r="G17" s="39" t="n">
        <x:v>3</x:v>
      </x:c>
      <x:c r="H17" s="39" t="str">
        <x:v>高纯湿电子化学品，受益晶圆扩产和国产替代</x:v>
      </x:c>
      <x:c r="I17" s="39" t="str">
        <x:v>长鑫/长存/中芯扩产</x:v>
      </x:c>
      <x:c r="J17" s="39" t="str">
        <x:v>低端产能过剩、毛利波动</x:v>
      </x:c>
      <x:c r="K17" s="39" t="str">
        <x:v>G4/G5占比/客户</x:v>
      </x:c>
      <x:c r="L17" s="39" t="str">
        <x:v>关注高端化</x:v>
      </x:c>
    </x:row>
    <x:row r="18" ht="48" customHeight="1">
      <x:c r="A18" s="48" t="str">
        <x:v>300655</x:v>
      </x:c>
      <x:c r="B18" s="39" t="str">
        <x:v>晶瑞电材</x:v>
      </x:c>
      <x:c r="C18" s="39" t="str">
        <x:v>湿电子化学品/光刻胶</x:v>
      </x:c>
      <x:c r="D18" s="39" t="str">
        <x:v>电子材料弹性</x:v>
      </x:c>
      <x:c r="E18" s="39" t="n">
        <x:v>4</x:v>
      </x:c>
      <x:c r="F18" s="39" t="n">
        <x:v>5</x:v>
      </x:c>
      <x:c r="G18" s="39" t="n">
        <x:v>3</x:v>
      </x:c>
      <x:c r="H18" s="39" t="str">
        <x:v>高纯双氧水、高纯硫酸等湿化学品及电子材料</x:v>
      </x:c>
      <x:c r="I18" s="39" t="str">
        <x:v>半导体材料国产化</x:v>
      </x:c>
      <x:c r="J18" s="39" t="str">
        <x:v>盈利波动和债务/产能压力</x:v>
      </x:c>
      <x:c r="K18" s="39" t="str">
        <x:v>湿化学品价格/高端客户</x:v>
      </x:c>
      <x:c r="L18" s="39" t="str">
        <x:v>弹性票</x:v>
      </x:c>
    </x:row>
    <x:row r="19" ht="48" customHeight="1">
      <x:c r="A19" s="48" t="str">
        <x:v>300721</x:v>
      </x:c>
      <x:c r="B19" s="39" t="str">
        <x:v>怡达股份</x:v>
      </x:c>
      <x:c r="C19" s="39" t="str">
        <x:v>PO</x:v>
      </x:c>
      <x:c r="D19" s="39" t="str">
        <x:v>题材龙头</x:v>
      </x:c>
      <x:c r="E19" s="39" t="n">
        <x:v>4</x:v>
      </x:c>
      <x:c r="F19" s="39" t="n">
        <x:v>5</x:v>
      </x:c>
      <x:c r="G19" s="39" t="n">
        <x:v>2</x:v>
      </x:c>
      <x:c r="H19" s="39" t="str">
        <x:v>PO概念纯度较高，小市值，涨价行情弹性强</x:v>
      </x:c>
      <x:c r="I19" s="39" t="str">
        <x:v>PO现货反弹、装置检修</x:v>
      </x:c>
      <x:c r="J19" s="39" t="str">
        <x:v>PO回落、复产、新产能</x:v>
      </x:c>
      <x:c r="K19" s="39" t="str">
        <x:v>PO价格/装置开工</x:v>
      </x:c>
      <x:c r="L19" s="39" t="str">
        <x:v>偏交易</x:v>
      </x:c>
    </x:row>
    <x:row r="20" ht="48" customHeight="1">
      <x:c r="A20" s="48" t="str">
        <x:v>002165</x:v>
      </x:c>
      <x:c r="B20" s="39" t="str">
        <x:v>红宝丽</x:v>
      </x:c>
      <x:c r="C20" s="39" t="str">
        <x:v>PO/聚氨酯</x:v>
      </x:c>
      <x:c r="D20" s="39" t="str">
        <x:v>补涨弹性</x:v>
      </x:c>
      <x:c r="E20" s="39" t="n">
        <x:v>3</x:v>
      </x:c>
      <x:c r="F20" s="39" t="n">
        <x:v>5</x:v>
      </x:c>
      <x:c r="G20" s="39" t="n">
        <x:v>2</x:v>
      </x:c>
      <x:c r="H20" s="39" t="str">
        <x:v>聚醚/聚氨酯链条，PO涨价扩散标的</x:v>
      </x:c>
      <x:c r="I20" s="39" t="str">
        <x:v>PO涨价、家电/保温需求</x:v>
      </x:c>
      <x:c r="J20" s="39" t="str">
        <x:v>成本传导不充分</x:v>
      </x:c>
      <x:c r="K20" s="39" t="str">
        <x:v>聚醚价差/PO价格</x:v>
      </x:c>
      <x:c r="L20" s="39" t="str">
        <x:v>偏交易</x:v>
      </x:c>
    </x:row>
    <x:row r="21" ht="48" customHeight="1">
      <x:c r="A21" s="48" t="str">
        <x:v>600309</x:v>
      </x:c>
      <x:c r="B21" s="39" t="str">
        <x:v>万华化学</x:v>
      </x:c>
      <x:c r="C21" s="39" t="str">
        <x:v>PO/聚氨酯</x:v>
      </x:c>
      <x:c r="D21" s="39" t="str">
        <x:v>产业龙头</x:v>
      </x:c>
      <x:c r="E21" s="39" t="n">
        <x:v>5</x:v>
      </x:c>
      <x:c r="F21" s="39" t="n">
        <x:v>2</x:v>
      </x:c>
      <x:c r="G21" s="39" t="n">
        <x:v>5</x:v>
      </x:c>
      <x:c r="H21" s="39" t="str">
        <x:v>化工新材料绝对龙头，PO/聚氨酯产业链完整</x:v>
      </x:c>
      <x:c r="I21" s="39" t="str">
        <x:v>PO景气+聚氨酯复苏</x:v>
      </x:c>
      <x:c r="J21" s="39" t="str">
        <x:v>体量大、周期下行</x:v>
      </x:c>
      <x:c r="K21" s="39" t="str">
        <x:v>PO价差/MDI价格</x:v>
      </x:c>
      <x:c r="L21" s="39" t="str">
        <x:v>产业地位龙头</x:v>
      </x:c>
    </x:row>
    <x:row r="22" ht="48" customHeight="1">
      <x:c r="A22" s="48" t="str">
        <x:v>601678</x:v>
      </x:c>
      <x:c r="B22" s="39" t="str">
        <x:v>滨化股份</x:v>
      </x:c>
      <x:c r="C22" s="39" t="str">
        <x:v>PO/环氧氯丙烷</x:v>
      </x:c>
      <x:c r="D22" s="39" t="str">
        <x:v>正宗PO</x:v>
      </x:c>
      <x:c r="E22" s="39" t="n">
        <x:v>4</x:v>
      </x:c>
      <x:c r="F22" s="39" t="n">
        <x:v>3</x:v>
      </x:c>
      <x:c r="G22" s="39" t="n">
        <x:v>3</x:v>
      </x:c>
      <x:c r="H22" s="39" t="str">
        <x:v>环氧丙烷和氯碱业务正宗，价格上涨改善盈利</x:v>
      </x:c>
      <x:c r="I22" s="39" t="str">
        <x:v>PO涨价</x:v>
      </x:c>
      <x:c r="J22" s="39" t="str">
        <x:v>供给释放、股性一般</x:v>
      </x:c>
      <x:c r="K22" s="39" t="str">
        <x:v>PO价格/烧碱价格</x:v>
      </x:c>
      <x:c r="L22" s="39" t="str">
        <x:v>低位弹性</x:v>
      </x:c>
    </x:row>
    <x:row r="23" ht="48" customHeight="1">
      <x:c r="A23" s="48" t="str">
        <x:v>002463</x:v>
      </x:c>
      <x:c r="B23" s="39" t="str">
        <x:v>沪电股份</x:v>
      </x:c>
      <x:c r="C23" s="39" t="str">
        <x:v>AI服务器PCB</x:v>
      </x:c>
      <x:c r="D23" s="39" t="str">
        <x:v>AI PCB龙头</x:v>
      </x:c>
      <x:c r="E23" s="39" t="n">
        <x:v>4</x:v>
      </x:c>
      <x:c r="F23" s="39" t="n">
        <x:v>3</x:v>
      </x:c>
      <x:c r="G23" s="39" t="n">
        <x:v>5</x:v>
      </x:c>
      <x:c r="H23" s="39" t="str">
        <x:v>AI服务器高速PCB核心标的，材料涨价可通过高端订单传导</x:v>
      </x:c>
      <x:c r="I23" s="39" t="str">
        <x:v>AI服务器订单</x:v>
      </x:c>
      <x:c r="J23" s="39" t="str">
        <x:v>估值拥挤</x:v>
      </x:c>
      <x:c r="K23" s="39" t="str">
        <x:v>订单/毛利率</x:v>
      </x:c>
      <x:c r="L23" s="39" t="str">
        <x:v>已热</x:v>
      </x:c>
    </x:row>
    <x:row r="24" ht="48" customHeight="1">
      <x:c r="A24" s="48" t="str">
        <x:v>300476</x:v>
      </x:c>
      <x:c r="B24" s="39" t="str">
        <x:v>胜宏科技</x:v>
      </x:c>
      <x:c r="C24" s="39" t="str">
        <x:v>AI PCB</x:v>
      </x:c>
      <x:c r="D24" s="39" t="str">
        <x:v>弹性龙头</x:v>
      </x:c>
      <x:c r="E24" s="39" t="n">
        <x:v>4</x:v>
      </x:c>
      <x:c r="F24" s="39" t="n">
        <x:v>4</x:v>
      </x:c>
      <x:c r="G24" s="39" t="n">
        <x:v>4</x:v>
      </x:c>
      <x:c r="H24" s="39" t="str">
        <x:v>高阶PCB受益AI服务器需求</x:v>
      </x:c>
      <x:c r="I24" s="39" t="str">
        <x:v>海外AI客户订单</x:v>
      </x:c>
      <x:c r="J24" s="39" t="str">
        <x:v>涨幅大、估值高</x:v>
      </x:c>
      <x:c r="K24" s="39" t="str">
        <x:v>订单/稼动率</x:v>
      </x:c>
      <x:c r="L24" s="39" t="str">
        <x:v>已热</x:v>
      </x:c>
    </x:row>
    <x:row r="25" ht="48" customHeight="1">
      <x:c r="A25" s="48" t="str">
        <x:v>300750</x:v>
      </x:c>
      <x:c r="B25" s="39" t="str">
        <x:v>宁德时代</x:v>
      </x:c>
      <x:c r="C25" s="39" t="str">
        <x:v>硫酸下游/磷酸铁锂</x:v>
      </x:c>
      <x:c r="D25" s="39" t="str">
        <x:v>需求端，不是涨价受益</x:v>
      </x:c>
      <x:c r="E25" s="39" t="n">
        <x:v>1</x:v>
      </x:c>
      <x:c r="F25" s="39" t="n">
        <x:v>1</x:v>
      </x:c>
      <x:c r="G25" s="39" t="n">
        <x:v>5</x:v>
      </x:c>
      <x:c r="H25" s="39" t="str">
        <x:v>磷酸铁锂需求会消耗硫酸，但硫酸涨价对其属于成本项</x:v>
      </x:c>
      <x:c r="I25" s="39" t="str">
        <x:v>新能源需求验证</x:v>
      </x:c>
      <x:c r="J25" s="39" t="str">
        <x:v>成本上升</x:v>
      </x:c>
      <x:c r="K25" s="39" t="str">
        <x:v>LFP出货</x:v>
      </x:c>
      <x:c r="L25" s="39" t="str">
        <x:v>用于区分受益/成本</x:v>
      </x:c>
    </x:row>
    <x:row r="26" ht="48" customHeight="1">
      <x:c r="A26" s="48" t="str">
        <x:v>002837</x:v>
      </x:c>
      <x:c r="B26" s="39" t="str">
        <x:v>英维克</x:v>
      </x:c>
      <x:c r="C26" s="39" t="str">
        <x:v>液冷</x:v>
      </x:c>
      <x:c r="D26" s="39" t="str">
        <x:v>温控龙头</x:v>
      </x:c>
      <x:c r="E26" s="39" t="n">
        <x:v>4</x:v>
      </x:c>
      <x:c r="F26" s="39" t="n">
        <x:v>3</x:v>
      </x:c>
      <x:c r="G26" s="39" t="n">
        <x:v>5</x:v>
      </x:c>
      <x:c r="H26" s="39" t="str">
        <x:v>数据中心温控和液冷核心标的，受益AI算力功耗提升</x:v>
      </x:c>
      <x:c r="I26" s="39" t="str">
        <x:v>AI数据中心液冷渗透</x:v>
      </x:c>
      <x:c r="J26" s="39" t="str">
        <x:v>竞争加剧、估值</x:v>
      </x:c>
      <x:c r="K26" s="39" t="str">
        <x:v>液冷订单/毛利</x:v>
      </x:c>
      <x:c r="L26" s="39" t="str">
        <x:v>非直接商品涨价</x:v>
      </x:c>
    </x:row>
    <x:row r="27" ht="48" customHeight="1">
      <x:c r="A27" s="48" t="str">
        <x:v>300499</x:v>
      </x:c>
      <x:c r="B27" s="39" t="str">
        <x:v>高澜股份</x:v>
      </x:c>
      <x:c r="C27" s="39" t="str">
        <x:v>液冷</x:v>
      </x:c>
      <x:c r="D27" s="39" t="str">
        <x:v>弹性标的</x:v>
      </x:c>
      <x:c r="E27" s="39" t="n">
        <x:v>3</x:v>
      </x:c>
      <x:c r="F27" s="39" t="n">
        <x:v>5</x:v>
      </x:c>
      <x:c r="G27" s="39" t="n">
        <x:v>3</x:v>
      </x:c>
      <x:c r="H27" s="39" t="str">
        <x:v>热管理弹性股，AI液冷和电力电子热管理受益</x:v>
      </x:c>
      <x:c r="I27" s="39" t="str">
        <x:v>液冷订单</x:v>
      </x:c>
      <x:c r="J27" s="39" t="str">
        <x:v>业绩波动</x:v>
      </x:c>
      <x:c r="K27" s="39" t="str">
        <x:v>订单/回款</x:v>
      </x:c>
      <x:c r="L27" s="39" t="str">
        <x:v>弹性</x:v>
      </x:c>
    </x:row>
    <x:row r="28">
      <x:c r="A28" s="39" t="str">
        <x:v>603256</x:v>
      </x:c>
      <x:c r="B28" s="39" t="str">
        <x:v>宏和科技</x:v>
      </x:c>
      <x:c r="C28" s="39" t="str">
        <x:v>电子布/AI PCB材料</x:v>
      </x:c>
      <x:c r="D28" s="39" t="str">
        <x:v>电子布弹性核心</x:v>
      </x:c>
      <x:c r="E28" s="39" t="n">
        <x:v>5</x:v>
      </x:c>
      <x:c r="F28" s="39" t="n">
        <x:v>5</x:v>
      </x:c>
      <x:c r="G28" s="39" t="n">
        <x:v>3</x:v>
      </x:c>
      <x:c r="H28" s="39" t="str">
        <x:v>国内电子级玻纤布企业，高端Low Dk电子布受益AI服务器PCB材料升级</x:v>
      </x:c>
      <x:c r="I28" s="39" t="str">
        <x:v>电子布涨价、AI服务器PCB订单、高端客户导入</x:v>
      </x:c>
      <x:c r="J28" s="39" t="str">
        <x:v>低端需求拖累、客户认证慢、业绩弹性需验证</x:v>
      </x:c>
      <x:c r="K28" s="39" t="str">
        <x:v>电子布价格/高端产品占比/客户导入</x:v>
      </x:c>
      <x:c r="L28" s="39" t="str">
        <x:v>电子布最应单独跟踪</x:v>
      </x:c>
    </x:row>
    <x:row r="29">
      <x:c r="A29" s="39" t="str">
        <x:v>600176</x:v>
      </x:c>
      <x:c r="B29" s="39" t="str">
        <x:v>中国巨石</x:v>
      </x:c>
      <x:c r="C29" s="39" t="str">
        <x:v>电子纱/玻纤</x:v>
      </x:c>
      <x:c r="D29" s="39" t="str">
        <x:v>上游龙头</x:v>
      </x:c>
      <x:c r="E29" s="39" t="n">
        <x:v>4</x:v>
      </x:c>
      <x:c r="F29" s="39" t="n">
        <x:v>3</x:v>
      </x:c>
      <x:c r="G29" s="39" t="n">
        <x:v>4</x:v>
      </x:c>
      <x:c r="H29" s="39" t="str">
        <x:v>玻纤龙头，电子纱/电子布上游供应能力强，高端电子材料景气改善受益</x:v>
      </x:c>
      <x:c r="I29" s="39" t="str">
        <x:v>电子纱涨价、玻纤周期修复</x:v>
      </x:c>
      <x:c r="J29" s="39" t="str">
        <x:v>普通玻纤周期拖累，电子布占比影响弹性</x:v>
      </x:c>
      <x:c r="K29" s="39" t="str">
        <x:v>电子纱价格/库存/产能利用率</x:v>
      </x:c>
      <x:c r="L29" s="39" t="str">
        <x:v>偏确定性</x:v>
      </x:c>
    </x:row>
    <x:row r="30">
      <x:c r="A30" s="39" t="str">
        <x:v>002080</x:v>
      </x:c>
      <x:c r="B30" s="39" t="str">
        <x:v>中材科技</x:v>
      </x:c>
      <x:c r="C30" s="39" t="str">
        <x:v>玻纤/电子纱</x:v>
      </x:c>
      <x:c r="D30" s="39" t="str">
        <x:v>综合材料龙头</x:v>
      </x:c>
      <x:c r="E30" s="39" t="n">
        <x:v>3</x:v>
      </x:c>
      <x:c r="F30" s="39" t="n">
        <x:v>3</x:v>
      </x:c>
      <x:c r="G30" s="39" t="n">
        <x:v>4</x:v>
      </x:c>
      <x:c r="H30" s="39" t="str">
        <x:v>玻纤业务受益高端电子纱修复，同时具备复合材料属性</x:v>
      </x:c>
      <x:c r="I30" s="39" t="str">
        <x:v>电子纱价格修复</x:v>
      </x:c>
      <x:c r="J30" s="39" t="str">
        <x:v>业务复杂，弹性分散</x:v>
      </x:c>
      <x:c r="K30" s="39" t="str">
        <x:v>玻纤价格/电子纱收入</x:v>
      </x:c>
      <x:c r="L30" s="39" t="str">
        <x:v>跟随受益</x:v>
      </x:c>
    </x:row>
    <x:row r="31">
      <x:c r="A31" s="39" t="str">
        <x:v>301217</x:v>
      </x:c>
      <x:c r="B31" s="39" t="str">
        <x:v>铜冠铜箔</x:v>
      </x:c>
      <x:c r="C31" s="39" t="str">
        <x:v>高端铜箔/HVLP</x:v>
      </x:c>
      <x:c r="D31" s="39" t="str">
        <x:v>铜箔弹性核心</x:v>
      </x:c>
      <x:c r="E31" s="39" t="n">
        <x:v>5</x:v>
      </x:c>
      <x:c r="F31" s="39" t="n">
        <x:v>5</x:v>
      </x:c>
      <x:c r="G31" s="39" t="n">
        <x:v>4</x:v>
      </x:c>
      <x:c r="H31" s="39" t="str">
        <x:v>PCB铜箔占比提升，受益AI服务器高端铜箔需求和全系铜箔提价</x:v>
      </x:c>
      <x:c r="I31" s="39" t="str">
        <x:v>HVLP/载体铜箔订单、AI PCB扩产</x:v>
      </x:c>
      <x:c r="J31" s="39" t="str">
        <x:v>高位波动、低端铜箔过剩</x:v>
      </x:c>
      <x:c r="K31" s="39" t="str">
        <x:v>PCB铜箔收入占比/毛利率</x:v>
      </x:c>
      <x:c r="L31" s="39" t="str">
        <x:v>高端铜箔重点</x:v>
      </x:c>
    </x:row>
    <x:row r="32">
      <x:c r="A32" s="39" t="str">
        <x:v>600110</x:v>
      </x:c>
      <x:c r="B32" s="39" t="str">
        <x:v>诺德股份</x:v>
      </x:c>
      <x:c r="C32" s="39" t="str">
        <x:v>高端铜箔</x:v>
      </x:c>
      <x:c r="D32" s="39" t="str">
        <x:v>铜箔题材龙头</x:v>
      </x:c>
      <x:c r="E32" s="39" t="n">
        <x:v>4</x:v>
      </x:c>
      <x:c r="F32" s="39" t="n">
        <x:v>5</x:v>
      </x:c>
      <x:c r="G32" s="39" t="n">
        <x:v>3</x:v>
      </x:c>
      <x:c r="H32" s="39" t="str">
        <x:v>铜箔老牌企业，市场关注其高端电子铜箔和AI基础设施链条</x:v>
      </x:c>
      <x:c r="I32" s="39" t="str">
        <x:v>AI铜箔风口、股价弹性</x:v>
      </x:c>
      <x:c r="J32" s="39" t="str">
        <x:v>监管调查/高负债/锂电铜箔周期</x:v>
      </x:c>
      <x:c r="K32" s="39" t="str">
        <x:v>高端铜箔收入/负债率</x:v>
      </x:c>
      <x:c r="L32" s="39" t="str">
        <x:v>弹性强风险也高</x:v>
      </x:c>
    </x:row>
    <x:row r="33">
      <x:c r="A33" s="39" t="str">
        <x:v>688388</x:v>
      </x:c>
      <x:c r="B33" s="39" t="str">
        <x:v>嘉元科技</x:v>
      </x:c>
      <x:c r="C33" s="39" t="str">
        <x:v>铜箔</x:v>
      </x:c>
      <x:c r="D33" s="39" t="str">
        <x:v>铜箔扩散标的</x:v>
      </x:c>
      <x:c r="E33" s="39" t="n">
        <x:v>3</x:v>
      </x:c>
      <x:c r="F33" s="39" t="n">
        <x:v>4</x:v>
      </x:c>
      <x:c r="G33" s="39" t="n">
        <x:v>3</x:v>
      </x:c>
      <x:c r="H33" s="39" t="str">
        <x:v>铜箔企业，若高端电子铜箔占比提升则受益AI PCB材料升级</x:v>
      </x:c>
      <x:c r="I33" s="39" t="str">
        <x:v>铜箔涨价扩散</x:v>
      </x:c>
      <x:c r="J33" s="39" t="str">
        <x:v>锂电铜箔低端过剩</x:v>
      </x:c>
      <x:c r="K33" s="39" t="str">
        <x:v>高端铜箔认证/产能利用率</x:v>
      </x:c>
      <x:c r="L33" s="39" t="str">
        <x:v>需辨别产品结构</x:v>
      </x:c>
    </x:row>
    <x:row r="34">
      <x:c r="A34" s="39" t="str">
        <x:v>000636</x:v>
      </x:c>
      <x:c r="B34" s="39" t="str">
        <x:v>风华高科</x:v>
      </x:c>
      <x:c r="C34" s="39" t="str">
        <x:v>MLCC</x:v>
      </x:c>
      <x:c r="D34" s="39" t="str">
        <x:v>国产MLCC龙头</x:v>
      </x:c>
      <x:c r="E34" s="39" t="n">
        <x:v>5</x:v>
      </x:c>
      <x:c r="F34" s="39" t="n">
        <x:v>5</x:v>
      </x:c>
      <x:c r="G34" s="39" t="n">
        <x:v>4</x:v>
      </x:c>
      <x:c r="H34" s="39" t="str">
        <x:v>国内MLCC龙头，高容/服务器/车规产品若放量，受益涨价和国产替代</x:v>
      </x:c>
      <x:c r="I34" s="39" t="str">
        <x:v>AI服务器MLCC涨价、英伟达链条预期</x:v>
      </x:c>
      <x:c r="J34" s="39" t="str">
        <x:v>消费级未必普涨、高端占比需验证</x:v>
      </x:c>
      <x:c r="K34" s="39" t="str">
        <x:v>高容MLCC占比/订单/价格</x:v>
      </x:c>
      <x:c r="L34" s="39" t="str">
        <x:v>MLCC弹性核心</x:v>
      </x:c>
    </x:row>
    <x:row r="35">
      <x:c r="A35" s="39" t="str">
        <x:v>300408</x:v>
      </x:c>
      <x:c r="B35" s="39" t="str">
        <x:v>三环集团</x:v>
      </x:c>
      <x:c r="C35" s="39" t="str">
        <x:v>MLCC/陶瓷材料</x:v>
      </x:c>
      <x:c r="D35" s="39" t="str">
        <x:v>高端MLCC核心</x:v>
      </x:c>
      <x:c r="E35" s="39" t="n">
        <x:v>5</x:v>
      </x:c>
      <x:c r="F35" s="39" t="n">
        <x:v>4</x:v>
      </x:c>
      <x:c r="G35" s="39" t="n">
        <x:v>5</x:v>
      </x:c>
      <x:c r="H35" s="39" t="str">
        <x:v>MLCC和陶瓷材料平台，垂直一体化能力强，受益高端MLCC需求</x:v>
      </x:c>
      <x:c r="I35" s="39" t="str">
        <x:v>高容MLCC放量、国产替代</x:v>
      </x:c>
      <x:c r="J35" s="39" t="str">
        <x:v>涨价兑现不及预期</x:v>
      </x:c>
      <x:c r="K35" s="39" t="str">
        <x:v>MLCC收入/毛利率/产能利用率</x:v>
      </x:c>
      <x:c r="L35" s="39" t="str">
        <x:v>确定性较强</x:v>
      </x:c>
    </x:row>
    <x:row r="36">
      <x:c r="A36" s="39" t="str">
        <x:v>300285</x:v>
      </x:c>
      <x:c r="B36" s="39" t="str">
        <x:v>国瓷材料</x:v>
      </x:c>
      <x:c r="C36" s="39" t="str">
        <x:v>MLCC上游陶瓷粉体</x:v>
      </x:c>
      <x:c r="D36" s="39" t="str">
        <x:v>上游材料</x:v>
      </x:c>
      <x:c r="E36" s="39" t="n">
        <x:v>4</x:v>
      </x:c>
      <x:c r="F36" s="39" t="n">
        <x:v>4</x:v>
      </x:c>
      <x:c r="G36" s="39" t="n">
        <x:v>4</x:v>
      </x:c>
      <x:c r="H36" s="39" t="str">
        <x:v>MLCC陶瓷粉体材料受益高端MLCC扩产和国产替代</x:v>
      </x:c>
      <x:c r="I36" s="39" t="str">
        <x:v>MLCC景气回升</x:v>
      </x:c>
      <x:c r="J36" s="39" t="str">
        <x:v>下游价格传导不充分</x:v>
      </x:c>
      <x:c r="K36" s="39" t="str">
        <x:v>陶瓷粉体收入/客户扩产</x:v>
      </x:c>
      <x:c r="L36" s="39" t="str">
        <x:v>上游受益</x:v>
      </x:c>
    </x:row>
    <x:row r="37">
      <x:c r="A37" s="39" t="str">
        <x:v>605589</x:v>
      </x:c>
      <x:c r="B37" s="39" t="str">
        <x:v>圣泉集团</x:v>
      </x:c>
      <x:c r="C37" s="39" t="str">
        <x:v>PPE/PPO树脂/电子树脂</x:v>
      </x:c>
      <x:c r="D37" s="39" t="str">
        <x:v>电子级PPO核心关注</x:v>
      </x:c>
      <x:c r="E37" s="39" t="n">
        <x:v>4</x:v>
      </x:c>
      <x:c r="F37" s="39" t="n">
        <x:v>4</x:v>
      </x:c>
      <x:c r="G37" s="39" t="n">
        <x:v>3</x:v>
      </x:c>
      <x:c r="H37" s="39" t="str">
        <x:v>电子级PPO树脂用于低介电高速覆铜板，但公司已澄清与工程塑料PPE供应中断不是同一体系，且先进电子材料价格稳定</x:v>
      </x:c>
      <x:c r="I37" s="39" t="str">
        <x:v>高速覆铜板需求、电子树脂国产替代</x:v>
      </x:c>
      <x:c r="J37" s="39" t="str">
        <x:v>消息误读、短期无大幅涨价</x:v>
      </x:c>
      <x:c r="K37" s="39" t="str">
        <x:v>电子级PPO收入/价格/客户验证</x:v>
      </x:c>
      <x:c r="L37" s="39" t="str">
        <x:v>重点是长期材料国产替代，不是短炒70%断供</x:v>
      </x:c>
    </x:row>
    <x:row r="38">
      <x:c r="A38" s="39" t="str">
        <x:v>601208</x:v>
      </x:c>
      <x:c r="B38" s="39" t="str">
        <x:v>东材科技</x:v>
      </x:c>
      <x:c r="C38" s="39" t="str">
        <x:v>高频材料/树脂膜</x:v>
      </x:c>
      <x:c r="D38" s="39" t="str">
        <x:v>高速材料平台</x:v>
      </x:c>
      <x:c r="E38" s="39" t="n">
        <x:v>4</x:v>
      </x:c>
      <x:c r="F38" s="39" t="n">
        <x:v>4</x:v>
      </x:c>
      <x:c r="G38" s="39" t="n">
        <x:v>4</x:v>
      </x:c>
      <x:c r="H38" s="39" t="str">
        <x:v>布局高速高频电子材料、特种树脂/膜材料，受益AI服务器高速覆铜板材料升级</x:v>
      </x:c>
      <x:c r="I38" s="39" t="str">
        <x:v>高频高速CCL材料需求</x:v>
      </x:c>
      <x:c r="J38" s="39" t="str">
        <x:v>产品结构和客户导入不确定</x:v>
      </x:c>
      <x:c r="K38" s="39" t="str">
        <x:v>电子材料收入/毛利率</x:v>
      </x:c>
      <x:c r="L38" s="39" t="str">
        <x:v>PPO/PPE扩散</x:v>
      </x:c>
    </x:row>
    <x:row r="39">
      <x:c r="A39" s="39" t="str">
        <x:v>603002</x:v>
      </x:c>
      <x:c r="B39" s="39" t="str">
        <x:v>宏昌电子</x:v>
      </x:c>
      <x:c r="C39" s="39" t="str">
        <x:v>电子级环氧树脂</x:v>
      </x:c>
      <x:c r="D39" s="39" t="str">
        <x:v>树脂扩散标的</x:v>
      </x:c>
      <x:c r="E39" s="39" t="n">
        <x:v>3</x:v>
      </x:c>
      <x:c r="F39" s="39" t="n">
        <x:v>4</x:v>
      </x:c>
      <x:c r="G39" s="39" t="n">
        <x:v>3</x:v>
      </x:c>
      <x:c r="H39" s="39" t="str">
        <x:v>电子级环氧树脂/覆铜板上游材料，受益CCL涨价和高端电子材料景气</x:v>
      </x:c>
      <x:c r="I39" s="39" t="str">
        <x:v>CCL涨价、电子树脂需求</x:v>
      </x:c>
      <x:c r="J39" s="39" t="str">
        <x:v>竞争激烈、并非PPO最纯</x:v>
      </x:c>
      <x:c r="K39" s="39" t="str">
        <x:v>树脂价差/CCL需求</x:v>
      </x:c>
      <x:c r="L39" s="39" t="str">
        <x:v>扩散票</x:v>
      </x:c>
    </x:row>
  </x:sheetData>
  <x:conditionalFormatting sqref="E2:G27">
    <x:cfRule type="colorScale" priority="1">
      <x:colorScale>
        <x:cfvo type="min"/>
        <x:cfvo type="percentile" val="50"/>
        <x:cfvo type="max"/>
        <x:color rgb="F8CBAD"/>
        <x:color rgb="FFE699"/>
        <x:color rgb="C6E0B4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8d046e1949246c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14" hidden="0" customWidth="1"/>
    <x:col min="4" max="4" width="35" hidden="0" customWidth="1"/>
    <x:col min="5" max="5" width="35" hidden="0" customWidth="1"/>
    <x:col min="6" max="6" width="35" hidden="0" customWidth="1"/>
    <x:col min="7" max="7" width="35" hidden="0" customWidth="1"/>
  </x:cols>
  <x:sheetData>
    <x:row r="1" ht="52" customHeight="1">
      <x:c r="A1" s="53" t="str">
        <x:v>主线</x:v>
      </x:c>
      <x:c r="B1" s="46" t="str">
        <x:v>必须跟踪的价格/指标</x:v>
      </x:c>
      <x:c r="C1" s="46" t="str">
        <x:v>数据频率</x:v>
      </x:c>
      <x:c r="D1" s="46" t="str">
        <x:v>上行确认信号</x:v>
      </x:c>
      <x:c r="E1" s="46" t="str">
        <x:v>降温/卖出警示</x:v>
      </x:c>
      <x:c r="F1" s="46" t="str">
        <x:v>最适合对应的股票池</x:v>
      </x:c>
      <x:c r="G1" s="46" t="str">
        <x:v>备注</x:v>
      </x:c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 ht="52" customHeight="1">
      <x:c r="A2" s="39" t="str">
        <x:v>硫酸/硫磺</x:v>
      </x:c>
      <x:c r="B2" s="39" t="str">
        <x:v>生意社硫酸基准价、硫磺基准价、港口库存、铜冶炼TC</x:v>
      </x:c>
      <x:c r="C2" s="39" t="str">
        <x:v>每日/每周</x:v>
      </x:c>
      <x:c r="D2" s="39" t="str">
        <x:v>硫酸继续创新高且硫磺库存低；铜冶炼副产品利润改善</x:v>
      </x:c>
      <x:c r="E2" s="39" t="str">
        <x:v>硫磺进口恢复、硫酸基准价连续回落、冶炼复产</x:v>
      </x:c>
      <x:c r="F2" s="39" t="str">
        <x:v>铜陵有色、粤桂股份、江西铜业、云南铜业</x:v>
      </x:c>
      <x:c r="G2" s="39" t="str">
        <x:v>逻辑硬，但下游磷化工可能成本承压</x:v>
      </x:c>
    </x:row>
    <x:row r="3" ht="52" customHeight="1">
      <x:c r="A3" s="39" t="str">
        <x:v>WF6</x:v>
      </x:c>
      <x:c r="B3" s="39" t="str">
        <x:v>海外WF6报价、钨粉/APT价格、三星/SK/长鑫/长存扩产</x:v>
      </x:c>
      <x:c r="C3" s="39" t="str">
        <x:v>每周/月度</x:v>
      </x:c>
      <x:c r="D3" s="39" t="str">
        <x:v>海外提价落地、国内厂商订单放量</x:v>
      </x:c>
      <x:c r="E3" s="39" t="str">
        <x:v>客户认证延后、存储扩产放缓</x:v>
      </x:c>
      <x:c r="F3" s="39" t="str">
        <x:v>中船特气、昊华科技、华特气体</x:v>
      </x:c>
      <x:c r="G3" s="39" t="str">
        <x:v>认知差大，需重视真实性</x:v>
      </x:c>
    </x:row>
    <x:row r="4" ht="52" customHeight="1">
      <x:c r="A4" s="39" t="str">
        <x:v>EMC/Underfill</x:v>
      </x:c>
      <x:c r="B4" s="39" t="str">
        <x:v>先进封装材料验证、HBM封装产能、EMC/GMC订单</x:v>
      </x:c>
      <x:c r="C4" s="39" t="str">
        <x:v>月度/公告</x:v>
      </x:c>
      <x:c r="D4" s="39" t="str">
        <x:v>验证通过+新产线满产+产品单价提升</x:v>
      </x:c>
      <x:c r="E4" s="39" t="str">
        <x:v>只讲概念无收入、验证反复</x:v>
      </x:c>
      <x:c r="F4" s="39" t="str">
        <x:v>华海诚科、德邦科技、飞凯材料</x:v>
      </x:c>
      <x:c r="G4" s="39" t="str">
        <x:v>材料验证周期较长</x:v>
      </x:c>
    </x:row>
    <x:row r="5" ht="52" customHeight="1">
      <x:c r="A5" s="39" t="str">
        <x:v>ABF/BT载板</x:v>
      </x:c>
      <x:c r="B5" s="39" t="str">
        <x:v>载板报价、交期、稼动率、国产GPU订单</x:v>
      </x:c>
      <x:c r="C5" s="39" t="str">
        <x:v>每周/月度</x:v>
      </x:c>
      <x:c r="D5" s="39" t="str">
        <x:v>ABF交期拉长、涨价函、基板厂扩产满负荷</x:v>
      </x:c>
      <x:c r="E5" s="39" t="str">
        <x:v>海外扩产释放、AI订单下修</x:v>
      </x:c>
      <x:c r="F5" s="39" t="str">
        <x:v>兴森科技、深南电路、沪电股份</x:v>
      </x:c>
      <x:c r="G5" s="39" t="str">
        <x:v>产业链明牌程度较高</x:v>
      </x:c>
    </x:row>
    <x:row r="6" ht="52" customHeight="1">
      <x:c r="A6" s="39" t="str">
        <x:v>TGV玻璃基板</x:v>
      </x:c>
      <x:c r="B6" s="39" t="str">
        <x:v>CoPoS量产节点、TGV良率、客户导入、设备订单</x:v>
      </x:c>
      <x:c r="C6" s="39" t="str">
        <x:v>月度/季度</x:v>
      </x:c>
      <x:c r="D6" s="39" t="str">
        <x:v>试产线进展超预期、客户订单落地</x:v>
      </x:c>
      <x:c r="E6" s="39" t="str">
        <x:v>产业化推迟、良率难提升</x:v>
      </x:c>
      <x:c r="F6" s="39" t="str">
        <x:v>沃格光电、三超新材、帝尔激光、大族激光</x:v>
      </x:c>
      <x:c r="G6" s="39" t="str">
        <x:v>预期差大但兑现慢</x:v>
      </x:c>
    </x:row>
    <x:row r="7" ht="52" customHeight="1">
      <x:c r="A7" s="39" t="str">
        <x:v>PO</x:v>
      </x:c>
      <x:c r="B7" s="39" t="str">
        <x:v>PO现货价格、丙烯价格、装置检修/复产、聚醚价差</x:v>
      </x:c>
      <x:c r="C7" s="39" t="str">
        <x:v>每日</x:v>
      </x:c>
      <x:c r="D7" s="39" t="str">
        <x:v>PO重新站上高位且库存低</x:v>
      </x:c>
      <x:c r="E7" s="39" t="str">
        <x:v>检修结束、报价跌破关键价位</x:v>
      </x:c>
      <x:c r="F7" s="39" t="str">
        <x:v>怡达股份、红宝丽、滨化股份、万华化学</x:v>
      </x:c>
      <x:c r="G7" s="39" t="str">
        <x:v>偏交易型，不宜用长周期逻辑硬套</x:v>
      </x:c>
    </x:row>
    <x:row r="8" ht="52" customHeight="1">
      <x:c r="A8" s="39" t="str">
        <x:v>湿电子化学品</x:v>
      </x:c>
      <x:c r="B8" s="39" t="str">
        <x:v>电子级双氧水/硫酸报价、晶圆厂开工、G5认证</x:v>
      </x:c>
      <x:c r="C8" s="39" t="str">
        <x:v>每周/月度</x:v>
      </x:c>
      <x:c r="D8" s="39" t="str">
        <x:v>高端客户认证+毛利率改善</x:v>
      </x:c>
      <x:c r="E8" s="39" t="str">
        <x:v>低端产能过剩、价格战</x:v>
      </x:c>
      <x:c r="F8" s="39" t="str">
        <x:v>江化微、晶瑞电材、中巨芯</x:v>
      </x:c>
      <x:c r="G8" s="39" t="str">
        <x:v>要区分高端/低端</x:v>
      </x:c>
    </x:row>
    <x:row r="9" ht="52" customHeight="1">
      <x:c r="A9" s="39" t="str">
        <x:v>AI PCB/铜箔</x:v>
      </x:c>
      <x:c r="B9" s="39" t="str">
        <x:v>HVLP铜箔价格、玻纤布交期、PCB订单、AI服务器出货</x:v>
      </x:c>
      <x:c r="C9" s="39" t="str">
        <x:v>每周/月度</x:v>
      </x:c>
      <x:c r="D9" s="39" t="str">
        <x:v>高端材料缺口扩大、订单排产拉满</x:v>
      </x:c>
      <x:c r="E9" s="39" t="str">
        <x:v>AI服务器订单下修、材料价格回落</x:v>
      </x:c>
      <x:c r="F9" s="39" t="str">
        <x:v>沪电股份、胜宏科技、诺德股份、嘉元科技</x:v>
      </x:c>
      <x:c r="G9" s="39" t="str">
        <x:v>热度较高，注意拥挤</x:v>
      </x:c>
    </x:row>
    <x:row r="10">
      <x:c r="A10" s="39" t="str">
        <x:v>电子布/玻纤布</x:v>
      </x:c>
      <x:c r="B10" s="39" t="str">
        <x:v>高端电子布报价、电子纱价格、玻纤库存、CCL调价函</x:v>
      </x:c>
      <x:c r="C10" s="39" t="str">
        <x:v>每周/月度</x:v>
      </x:c>
      <x:c r="D10" s="39" t="str">
        <x:v>高端电子布交期拉长、Low Dk产品提价、CCL厂连续调价</x:v>
      </x:c>
      <x:c r="E10" s="39" t="str">
        <x:v>低端玻纤库存上升、AI PCB订单降温</x:v>
      </x:c>
      <x:c r="F10" s="39" t="str">
        <x:v>宏和科技、中国巨石、中材科技、生益科技</x:v>
      </x:c>
      <x:c r="G10" s="39" t="str">
        <x:v>必须区分普通玻纤和高端电子布</x:v>
      </x:c>
    </x:row>
    <x:row r="11">
      <x:c r="A11" s="39" t="str">
        <x:v>高端铜箔</x:v>
      </x:c>
      <x:c r="B11" s="39" t="str">
        <x:v>HVLP铜箔报价、载体铜箔订单、PCB铜箔收入占比、铜价</x:v>
      </x:c>
      <x:c r="C11" s="39" t="str">
        <x:v>每周/月度</x:v>
      </x:c>
      <x:c r="D11" s="39" t="str">
        <x:v>高端铜箔报价上行、客户认证落地、AI服务器排产增强</x:v>
      </x:c>
      <x:c r="E11" s="39" t="str">
        <x:v>锂电铜箔价格战、AI订单下修</x:v>
      </x:c>
      <x:c r="F11" s="39" t="str">
        <x:v>铜冠铜箔、诺德股份、德福科技、嘉元科技、方邦股份</x:v>
      </x:c>
      <x:c r="G11" s="39" t="str">
        <x:v>重点是高端PCB铜箔，不是普通锂电铜箔</x:v>
      </x:c>
    </x:row>
    <x:row r="12">
      <x:c r="A12" s="39" t="str">
        <x:v>MLCC</x:v>
      </x:c>
      <x:c r="B12" s="39" t="str">
        <x:v>村田/国巨交期、AI服务器MLCC价格、高容产品占比、国产订单</x:v>
      </x:c>
      <x:c r="C12" s="39" t="str">
        <x:v>每周/月度</x:v>
      </x:c>
      <x:c r="D12" s="39" t="str">
        <x:v>高端MLCC交期延长、日韩涨价、国产高容订单落地</x:v>
      </x:c>
      <x:c r="E12" s="39" t="str">
        <x:v>消费级MLCC库存回升、涨价仅停留在传闻</x:v>
      </x:c>
      <x:c r="F12" s="39" t="str">
        <x:v>风华高科、三环集团、国瓷材料、火炬电子</x:v>
      </x:c>
      <x:c r="G12" s="39" t="str">
        <x:v>高端/消费级分化很大</x:v>
      </x:c>
    </x:row>
    <x:row r="13">
      <x:c r="A13" s="39" t="str">
        <x:v>PPE/PPO树脂</x:v>
      </x:c>
      <x:c r="B13" s="39" t="str">
        <x:v>电子级PPO报价、工程塑料PPE供应、CCL树脂调价、高速覆铜板订单</x:v>
      </x:c>
      <x:c r="C13" s="39" t="str">
        <x:v>每周/月度</x:v>
      </x:c>
      <x:c r="D13" s="39" t="str">
        <x:v>电子级PPO真实提价、下游CCL涨价传导、客户认证落地</x:v>
      </x:c>
      <x:c r="E13" s="39" t="str">
        <x:v>公司澄清无涨价、工程塑料PPE事件缓和</x:v>
      </x:c>
      <x:c r="F13" s="39" t="str">
        <x:v>圣泉集团、东材科技、宏昌电子、生益科技</x:v>
      </x:c>
      <x:c r="G13" s="39" t="str">
        <x:v>不要把工程塑料PPE和电子级PPO混为一谈</x:v>
      </x:c>
    </x:row>
  </x:sheetData>
  <x:pageMargins left="0.7" right="0.7" top="0.75" bottom="0.75" header="0.3" footer="0.3"/>
  <x:tableParts count="1">
    <x:tablePart xmlns:r="http://schemas.openxmlformats.org/officeDocument/2006/relationships" r:id="Rc714a46de1af406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36" hidden="0" customWidth="1"/>
    <x:col min="4" max="4" width="58" hidden="0" customWidth="1"/>
    <x:col min="5" max="5" width="32" hidden="0" customWidth="1"/>
  </x:cols>
  <x:sheetData>
    <x:row r="1" ht="40" customHeight="1">
      <x:c r="A1" s="53" t="str">
        <x:v>序号</x:v>
      </x:c>
      <x:c r="B1" s="46" t="str">
        <x:v>主题</x:v>
      </x:c>
      <x:c r="C1" s="46" t="str">
        <x:v>来源名称/说明</x:v>
      </x:c>
      <x:c r="D1" s="46" t="str">
        <x:v>URL</x:v>
      </x:c>
      <x:c r="E1" s="46" t="str">
        <x:v>使用位置</x:v>
      </x:c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 ht="40" customHeight="1">
      <x:c r="A2" s="39" t="n">
        <x:v>1</x:v>
      </x:c>
      <x:c r="B2" s="39" t="str">
        <x:v>硫酸/硫磺</x:v>
      </x:c>
      <x:c r="C2" s="39" t="str">
        <x:v>新浪财经：三个月涨近130%，硫酸价格狂飙</x:v>
      </x:c>
      <x:c r="D2" s="39" t="str">
        <x:v>https://finance.sina.com.cn/wm/2026-04-17/doc-inhuuyia6512100.shtml</x:v>
      </x:c>
      <x:c r="E2" s="39" t="str">
        <x:v>硫酸涨价幅度、硫磺涨幅、供需逻辑</x:v>
      </x:c>
    </x:row>
    <x:row r="3" ht="40" customHeight="1">
      <x:c r="A3" s="39" t="n">
        <x:v>2</x:v>
      </x:c>
      <x:c r="B3" s="39" t="str">
        <x:v>硫磺进口</x:v>
      </x:c>
      <x:c r="C3" s="39" t="str">
        <x:v>中国经营网：硫磺价格上涨中东局势影响</x:v>
      </x:c>
      <x:c r="D3" s="39" t="str">
        <x:v>https://www.cb.com.cn/index/show/zj/cv/cv135350051265</x:v>
      </x:c>
      <x:c r="E3" s="39" t="str">
        <x:v>硫磺进口中东依赖</x:v>
      </x:c>
    </x:row>
    <x:row r="4" ht="40" customHeight="1">
      <x:c r="A4" s="39" t="n">
        <x:v>3</x:v>
      </x:c>
      <x:c r="B4" s="39" t="str">
        <x:v>PO价格</x:v>
      </x:c>
      <x:c r="C4" s="39" t="str">
        <x:v>生意社环氧丙烷产业网</x:v>
      </x:c>
      <x:c r="D4" s="39" t="str">
        <x:v>https://po.100ppi.com/</x:v>
      </x:c>
      <x:c r="E4" s="39" t="str">
        <x:v>PO近期报价和行情跟踪</x:v>
      </x:c>
    </x:row>
    <x:row r="5" ht="40" customHeight="1">
      <x:c r="A5" s="39" t="n">
        <x:v>4</x:v>
      </x:c>
      <x:c r="B5" s="39" t="str">
        <x:v>WF6</x:v>
      </x:c>
      <x:c r="C5" s="39" t="str">
        <x:v>股市动态分析：半导体材料六氟化钨量价齐升</x:v>
      </x:c>
      <x:c r="D5" s="39" t="str">
        <x:v>https://static.weeklyonstock.com/26/0607/qdy141035.html</x:v>
      </x:c>
      <x:c r="E5" s="39" t="str">
        <x:v>WF6涨价、需求和核心企业</x:v>
      </x:c>
    </x:row>
    <x:row r="6" ht="40" customHeight="1">
      <x:c r="A6" s="39" t="n">
        <x:v>5</x:v>
      </x:c>
      <x:c r="B6" s="39" t="str">
        <x:v>EMC</x:v>
      </x:c>
      <x:c r="C6" s="39" t="str">
        <x:v>东方财富PDF：环氧塑封料国产化率低，先进封装+HBM带动量价齐升</x:v>
      </x:c>
      <x:c r="D6" s="39" t="str">
        <x:v>https://pdf.dfcfw.com/pdf/H3_AP202511211785486220_1.pdf</x:v>
      </x:c>
      <x:c r="E6" s="39" t="str">
        <x:v>EMC/先进封装材料</x:v>
      </x:c>
    </x:row>
    <x:row r="7" ht="40" customHeight="1">
      <x:c r="A7" s="39" t="n">
        <x:v>6</x:v>
      </x:c>
      <x:c r="B7" s="39" t="str">
        <x:v>ABF/先进制程</x:v>
      </x:c>
      <x:c r="C7" s="39" t="str">
        <x:v>财联社：AI服务器引爆半导体链</x:v>
      </x:c>
      <x:c r="D7" s="39" t="str">
        <x:v>https://www.cls.cn/detail/2353784</x:v>
      </x:c>
      <x:c r="E7" s="39" t="str">
        <x:v>ABF、晶圆代工、InP等价格预期</x:v>
      </x:c>
    </x:row>
    <x:row r="8" ht="40" customHeight="1">
      <x:c r="A8" s="39" t="n">
        <x:v>7</x:v>
      </x:c>
      <x:c r="B8" s="39" t="str">
        <x:v>玻璃基板/TGV</x:v>
      </x:c>
      <x:c r="C8" s="39" t="str">
        <x:v>证券时报：玻璃基板爆发在即</x:v>
      </x:c>
      <x:c r="D8" s="39" t="str">
        <x:v>https://www.stcn.com/article/detail/3734494.html</x:v>
      </x:c>
      <x:c r="E8" s="39" t="str">
        <x:v>TGV概念股和产业进展</x:v>
      </x:c>
    </x:row>
    <x:row r="9" ht="40" customHeight="1">
      <x:c r="A9" s="39" t="n">
        <x:v>8</x:v>
      </x:c>
      <x:c r="B9" s="39" t="str">
        <x:v>玻璃基板/CoPoS</x:v>
      </x:c>
      <x:c r="C9" s="39" t="str">
        <x:v>东方财富：玻璃基板成芯高地</x:v>
      </x:c>
      <x:c r="D9" s="39" t="str">
        <x:v>https://wap.eastmoney.com/a/202606083762749356.html</x:v>
      </x:c>
      <x:c r="E9" s="39" t="str">
        <x:v>CoPoS和TGV产业化节奏</x:v>
      </x:c>
    </x:row>
    <x:row r="10" ht="40" customHeight="1">
      <x:c r="A10" s="39" t="n">
        <x:v>9</x:v>
      </x:c>
      <x:c r="B10" s="39" t="str">
        <x:v>沃格光电</x:v>
      </x:c>
      <x:c r="C10" s="39" t="str">
        <x:v>沃格光电投资者关系活动记录表</x:v>
      </x:c>
      <x:c r="D10" s="39" t="str">
        <x:v>https://pdf.dfcfw.com/pdf/H22_AN202601051815368157_1.pdf</x:v>
      </x:c>
      <x:c r="E10" s="39" t="str">
        <x:v>公司TGV先进封装产线进展</x:v>
      </x:c>
    </x:row>
    <x:row r="11" ht="40" customHeight="1">
      <x:c r="A11" s="39" t="n">
        <x:v>10</x:v>
      </x:c>
      <x:c r="B11" s="39" t="str">
        <x:v>湿电子化学品</x:v>
      </x:c>
      <x:c r="C11" s="39" t="str">
        <x:v>晶瑞电材公告/行业说明</x:v>
      </x:c>
      <x:c r="D11" s="39" t="str">
        <x:v>https://money.finance.sina.com.cn/corp/view/vCB_AllBulletinDetail.php?id=11414959&amp;stockid=300655</x:v>
      </x:c>
      <x:c r="E11" s="39" t="str">
        <x:v>湿电子化学品行业公司和产品</x:v>
      </x:c>
    </x:row>
    <x:row r="12" ht="40" customHeight="1">
      <x:c r="A12" s="39" t="n">
        <x:v>11</x:v>
      </x:c>
      <x:c r="B12" s="39" t="str">
        <x:v>湿电子化学品</x:v>
      </x:c>
      <x:c r="C12" s="39" t="str">
        <x:v>头豹词条报告：湿电子化学品</x:v>
      </x:c>
      <x:c r="D12" s="39" t="str">
        <x:v>https://pdf.dfcfw.com/pdf/H3_AP202408261639462974_1.pdf</x:v>
      </x:c>
      <x:c r="E12" s="39" t="str">
        <x:v>湿化学品产能、结构性供需</x:v>
      </x:c>
    </x:row>
    <x:row r="13" ht="40" customHeight="1">
      <x:c r="A13" s="39" t="n">
        <x:v>12</x:v>
      </x:c>
      <x:c r="B13" s="39" t="str">
        <x:v>PCB材料</x:v>
      </x:c>
      <x:c r="C13" s="39" t="str">
        <x:v>永丰金证券：2026 PCB 缺货涨价解析</x:v>
      </x:c>
      <x:c r="D13" s="39" t="str">
        <x:v>https://www.sinotrade.com.tw/richclub/hotstock/2026-PCB-%E5%85%A8%E9%9D%A2%E7%BC%BA%E8%B2%A8%E6%BC%B2%E5%83%B9%E5%AE%8C%E6%95%B4%E8%A7%A3%E6%9E%90-%E5%9B%9B%E5%A4%A7%E6%88%B0%E7%95%A5%E7%89%A9%E8%B3%87%E7%9F%AD%E7%BC%BA-ABF-%E8%BC%89%E6%9D%BF%E8%B6%85%E7%B4%9A%E5%BE%AA%E7%92%B0%E8%88%87%E5%8F%B0%E7%81%A3%E4%BE%9B%E6%87%89%E9%8F%88%E6%8A%95%E8%B3%87%E5%9C%B0%E5%9C%96-%E8%82%A1%E5%B8%82%E8%A9%B1%E9%A1%8C-6a226b1f6c6d82bf0a7d4803</x:v>
      </x:c>
      <x:c r="E13" s="39" t="str">
        <x:v>PCB材料缺口和涨价链</x:v>
      </x:c>
    </x:row>
    <x:row r="14">
      <x:c r="A14" s="39" t="n">
        <x:v>13</x:v>
      </x:c>
      <x:c r="B14" s="39" t="str">
        <x:v>覆铜板/电子布</x:v>
      </x:c>
      <x:c r="C14" s="39" t="str">
        <x:v>财联社：PCB上游覆铜板再现涨价潮</x:v>
      </x:c>
      <x:c r="D14" s="39" t="str">
        <x:v>https://www.cls.cn/detail/2341583</x:v>
      </x:c>
      <x:c r="E14" s="39" t="str">
        <x:v>电子布、CCL涨价、上游材料链</x:v>
      </x:c>
    </x:row>
    <x:row r="15">
      <x:c r="A15" s="39" t="n">
        <x:v>14</x:v>
      </x:c>
      <x:c r="B15" s="39" t="str">
        <x:v>铜箔</x:v>
      </x:c>
      <x:c r="C15" s="39" t="str">
        <x:v>东方财富/华夏时报：AI铜箔风口来临</x:v>
      </x:c>
      <x:c r="D15" s="39" t="str">
        <x:v>https://wap.eastmoney.com/a/202606043760362711.html</x:v>
      </x:c>
      <x:c r="E15" s="39" t="str">
        <x:v>高端铜箔、铜冠铜箔/诺德股份等</x:v>
      </x:c>
    </x:row>
    <x:row r="16">
      <x:c r="A16" s="39" t="n">
        <x:v>15</x:v>
      </x:c>
      <x:c r="B16" s="39" t="str">
        <x:v>铜箔</x:v>
      </x:c>
      <x:c r="C16" s="39" t="str">
        <x:v>财联社铜箔专题：载体铜箔与1.6T光模块</x:v>
      </x:c>
      <x:c r="D16" s="39" t="str">
        <x:v>https://www.cls.cn/subject/1332</x:v>
      </x:c>
      <x:c r="E16" s="39" t="str">
        <x:v>载体铜箔、HVLP、高端电子铜箔</x:v>
      </x:c>
    </x:row>
    <x:row r="17">
      <x:c r="A17" s="39" t="n">
        <x:v>16</x:v>
      </x:c>
      <x:c r="B17" s="39" t="str">
        <x:v>MLCC</x:v>
      </x:c>
      <x:c r="C17" s="39" t="str">
        <x:v>财联社：AI服务器MLCC用量翻倍，价格下行周期迎拐点</x:v>
      </x:c>
      <x:c r="D17" s="39" t="str">
        <x:v>https://m.cls.cn/detail/2381653</x:v>
      </x:c>
      <x:c r="E17" s="39" t="str">
        <x:v>MLCC涨价逻辑和A股核心企业</x:v>
      </x:c>
    </x:row>
    <x:row r="18">
      <x:c r="A18" s="39" t="n">
        <x:v>17</x:v>
      </x:c>
      <x:c r="B18" s="39" t="str">
        <x:v>MLCC</x:v>
      </x:c>
      <x:c r="C18" s="39" t="str">
        <x:v>新浪：AI服务器MLCC用量翻倍三年价格下行周期迎拐点</x:v>
      </x:c>
      <x:c r="D18" s="39" t="str">
        <x:v>https://finance.sina.cn/stock/jdts/2026-05-26/detail-inhzffss1517949.d.html</x:v>
      </x:c>
      <x:c r="E18" s="39" t="str">
        <x:v>MLCC板块行情和价格变化</x:v>
      </x:c>
    </x:row>
    <x:row r="19">
      <x:c r="A19" s="39" t="n">
        <x:v>18</x:v>
      </x:c>
      <x:c r="B19" s="39" t="str">
        <x:v>PPE/PPO树脂</x:v>
      </x:c>
      <x:c r="C19" s="39" t="str">
        <x:v>证券时报：圣泉集团称先进电子材料价格稳定</x:v>
      </x:c>
      <x:c r="D19" s="39" t="str">
        <x:v>https://www.stcn.com/article/detail/3952261.html</x:v>
      </x:c>
      <x:c r="E19" s="39" t="str">
        <x:v>PPE/PPO树脂辨析和风险提示</x:v>
      </x:c>
    </x:row>
    <x:row r="20">
      <x:c r="A20" s="39" t="n">
        <x:v>19</x:v>
      </x:c>
      <x:c r="B20" s="39" t="str">
        <x:v>PPE/PPO树脂</x:v>
      </x:c>
      <x:c r="C20" s="39" t="str">
        <x:v>大河财立方：圣泉集团回应PPE/PPO相关问题</x:v>
      </x:c>
      <x:c r="D20" s="39" t="str">
        <x:v>https://app.dahecube.com/nweb/pc/spiderdetail.html?spidid=803099%3Frecid%3D1</x:v>
      </x:c>
      <x:c r="E20" s="39" t="str">
        <x:v>PPE/PPO产品体系差异</x:v>
      </x:c>
    </x:row>
    <x:row r="21">
      <x:c r="A21" s="39" t="n">
        <x:v>20</x:v>
      </x:c>
      <x:c r="B21" s="39" t="str">
        <x:v>PCB高频材料</x:v>
      </x:c>
      <x:c r="C21" s="39" t="str">
        <x:v>同花顺公司动态：PCB行业高端材料涨价信息汇总</x:v>
      </x:c>
      <x:c r="D21" s="39" t="str">
        <x:v>https://basic.10jqka.com.cn/600183/</x:v>
      </x:c>
      <x:c r="E21" s="39" t="str">
        <x:v>电子布、铜箔、特种树脂、覆铜板</x:v>
      </x:c>
    </x:row>
  </x:sheetData>
  <x:pageMargins left="0.7" right="0.7" top="0.75" bottom="0.75" header="0.3" footer="0.3"/>
  <x:tableParts count="1">
    <x:tablePart xmlns:r="http://schemas.openxmlformats.org/officeDocument/2006/relationships" r:id="R08f9e50fd2b04483"/>
  </x:tableParts>
</x:worksheet>
</file>